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licjam\Documents\pro_pro\neurocomp\2025\"/>
    </mc:Choice>
  </mc:AlternateContent>
  <xr:revisionPtr revIDLastSave="0" documentId="8_{0E69CA31-E09B-4204-B18A-8398EBBA04BE}" xr6:coauthVersionLast="47" xr6:coauthVersionMax="47" xr10:uidLastSave="{00000000-0000-0000-0000-000000000000}"/>
  <bookViews>
    <workbookView xWindow="-120" yWindow="-120" windowWidth="29040" windowHeight="15720" xr2:uid="{4E3AF065-AC64-8B45-B40F-3C55339649B9}"/>
  </bookViews>
  <sheets>
    <sheet name="TSP-GA" sheetId="11" r:id="rId1"/>
    <sheet name="TSP-SA" sheetId="12" r:id="rId2"/>
    <sheet name="TSP-ACO" sheetId="13" r:id="rId3"/>
    <sheet name="KP-GA" sheetId="2" state="hidden" r:id="rId4"/>
    <sheet name="KP-SA" sheetId="5" state="hidden" r:id="rId5"/>
    <sheet name="KP-PSO" sheetId="6" state="hidden" r:id="rId6"/>
    <sheet name="JSSP-GA" sheetId="8" r:id="rId7"/>
    <sheet name="JSSP-PSO" sheetId="9" r:id="rId8"/>
    <sheet name="JSSP-ACO" sheetId="10" r:id="rId9"/>
    <sheet name="GCP-PSO" sheetId="17" r:id="rId10"/>
    <sheet name="GCP-GA" sheetId="14" r:id="rId11"/>
    <sheet name="GCP-SA" sheetId="15"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5" l="1" a="1"/>
  <c r="K2" i="15" s="1"/>
  <c r="K3" i="15" a="1"/>
  <c r="K3" i="15" s="1"/>
  <c r="K4" i="15" a="1"/>
  <c r="K4" i="15" s="1"/>
  <c r="K5" i="15" a="1"/>
  <c r="K5" i="15" s="1"/>
  <c r="K6" i="15" a="1"/>
  <c r="K6" i="15" s="1"/>
  <c r="K7" i="15" a="1"/>
  <c r="K7" i="15" s="1"/>
  <c r="K8" i="15" a="1"/>
  <c r="K8" i="15" s="1"/>
  <c r="K9" i="15" a="1"/>
  <c r="K9" i="15" s="1"/>
  <c r="K10" i="15" a="1"/>
  <c r="K10" i="15" s="1"/>
  <c r="K11" i="15" a="1"/>
  <c r="K11" i="15" s="1"/>
  <c r="K12" i="15" a="1"/>
  <c r="K12" i="15" s="1"/>
  <c r="K13" i="15" a="1"/>
  <c r="K13" i="15" s="1"/>
  <c r="K14" i="15" a="1"/>
  <c r="K14" i="15" s="1"/>
  <c r="K15" i="15" a="1"/>
  <c r="K15" i="15" s="1"/>
  <c r="K16" i="15" a="1"/>
  <c r="K16" i="15" s="1"/>
  <c r="K17" i="15" a="1"/>
  <c r="K17" i="15" s="1"/>
  <c r="K18" i="15" a="1"/>
  <c r="K18" i="15" s="1"/>
  <c r="K19" i="15" a="1"/>
  <c r="K19" i="15" s="1"/>
  <c r="K20" i="15" a="1"/>
  <c r="K20" i="15" s="1"/>
  <c r="K21" i="15" a="1"/>
  <c r="K21" i="15" s="1"/>
  <c r="K22" i="15" a="1"/>
  <c r="K22" i="15" s="1"/>
  <c r="K23" i="15" a="1"/>
  <c r="K23" i="15" s="1"/>
  <c r="K24" i="15" a="1"/>
  <c r="K24" i="15" s="1"/>
  <c r="K25" i="15" a="1"/>
  <c r="K25" i="15" s="1"/>
  <c r="K26" i="15" a="1"/>
  <c r="K26" i="15" s="1"/>
  <c r="K27" i="15" a="1"/>
  <c r="K27" i="15" s="1"/>
  <c r="K28" i="15" a="1"/>
  <c r="K28" i="15" s="1"/>
  <c r="K29" i="15" a="1"/>
  <c r="K29" i="15" s="1"/>
  <c r="K30" i="15" a="1"/>
  <c r="K30" i="15" s="1"/>
  <c r="K31" i="15" a="1"/>
  <c r="K31" i="15" s="1"/>
  <c r="K32" i="15" a="1"/>
  <c r="K32" i="15" s="1"/>
  <c r="K33" i="15" a="1"/>
  <c r="K33" i="15" s="1"/>
  <c r="K34" i="15" a="1"/>
  <c r="K34" i="15" s="1"/>
  <c r="K35" i="15" a="1"/>
  <c r="K35" i="15" s="1"/>
  <c r="K36" i="15" a="1"/>
  <c r="K36" i="15" s="1"/>
  <c r="K37" i="15" a="1"/>
  <c r="K37" i="15" s="1"/>
  <c r="K38" i="15" a="1"/>
  <c r="K38" i="15" s="1"/>
  <c r="K39" i="15" a="1"/>
  <c r="K39" i="15" s="1"/>
  <c r="K40" i="15" a="1"/>
  <c r="K40" i="15" s="1"/>
  <c r="K41" i="15" a="1"/>
  <c r="K41" i="15" s="1"/>
  <c r="O2" i="14" a="1"/>
  <c r="O2" i="14" s="1"/>
  <c r="O3" i="14" a="1"/>
  <c r="O3" i="14" s="1"/>
  <c r="O4" i="14" a="1"/>
  <c r="O4" i="14" s="1"/>
  <c r="O5" i="14" a="1"/>
  <c r="O5" i="14" s="1"/>
  <c r="O6" i="14" a="1"/>
  <c r="O6" i="14" s="1"/>
  <c r="O7" i="14" a="1"/>
  <c r="O7" i="14" s="1"/>
  <c r="O8" i="14" a="1"/>
  <c r="O8" i="14" s="1"/>
  <c r="O9" i="14" a="1"/>
  <c r="O9" i="14" s="1"/>
  <c r="O10" i="14" a="1"/>
  <c r="O10" i="14" s="1"/>
  <c r="O11" i="14" a="1"/>
  <c r="O11" i="14" s="1"/>
  <c r="O12" i="14" a="1"/>
  <c r="O12" i="14" s="1"/>
  <c r="O13" i="14" a="1"/>
  <c r="O13" i="14" s="1"/>
  <c r="O14" i="14" a="1"/>
  <c r="O14" i="14" s="1"/>
  <c r="O15" i="14" a="1"/>
  <c r="O15" i="14" s="1"/>
  <c r="O16" i="14" a="1"/>
  <c r="O16" i="14" s="1"/>
  <c r="O17" i="14" a="1"/>
  <c r="O17" i="14" s="1"/>
  <c r="O18" i="14" a="1"/>
  <c r="O18" i="14" s="1"/>
  <c r="O19" i="14" a="1"/>
  <c r="O19" i="14" s="1"/>
  <c r="O20" i="14" a="1"/>
  <c r="O20" i="14" s="1"/>
  <c r="O21" i="14" a="1"/>
  <c r="O21" i="14" s="1"/>
  <c r="O22" i="14" a="1"/>
  <c r="O22" i="14" s="1"/>
  <c r="O23" i="14" a="1"/>
  <c r="O23" i="14" s="1"/>
  <c r="O24" i="14" a="1"/>
  <c r="O24" i="14" s="1"/>
  <c r="O25" i="14" a="1"/>
  <c r="O25" i="14" s="1"/>
  <c r="O26" i="14" a="1"/>
  <c r="O26" i="14" s="1"/>
  <c r="O27" i="14" a="1"/>
  <c r="O27" i="14" s="1"/>
  <c r="O28" i="14" a="1"/>
  <c r="O28" i="14" s="1"/>
  <c r="O29" i="14" a="1"/>
  <c r="O29" i="14" s="1"/>
  <c r="O30" i="14" a="1"/>
  <c r="O30" i="14" s="1"/>
  <c r="O31" i="14" a="1"/>
  <c r="O31" i="14" s="1"/>
  <c r="O32" i="14" a="1"/>
  <c r="O32" i="14" s="1"/>
  <c r="O33" i="14" a="1"/>
  <c r="O33" i="14" s="1"/>
  <c r="O34" i="14" a="1"/>
  <c r="O34" i="14" s="1"/>
  <c r="O35" i="14" a="1"/>
  <c r="O35" i="14" s="1"/>
  <c r="O36" i="14" a="1"/>
  <c r="O36" i="14" s="1"/>
  <c r="O37" i="14" a="1"/>
  <c r="O37" i="14" s="1"/>
  <c r="O38" i="14" a="1"/>
  <c r="O38" i="14" s="1"/>
  <c r="O39" i="14" a="1"/>
  <c r="O39" i="14" s="1"/>
  <c r="O40" i="14" a="1"/>
  <c r="O40" i="14" s="1"/>
  <c r="O41" i="14" a="1"/>
  <c r="O41" i="14" s="1"/>
  <c r="L2" i="17" a="1"/>
  <c r="L2" i="17" s="1"/>
  <c r="L3" i="17" a="1"/>
  <c r="L3" i="17" s="1"/>
  <c r="L4" i="17" a="1"/>
  <c r="L4" i="17" s="1"/>
  <c r="L5" i="17" a="1"/>
  <c r="L5" i="17" s="1"/>
  <c r="L6" i="17" a="1"/>
  <c r="L6" i="17" s="1"/>
  <c r="L7" i="17" a="1"/>
  <c r="L7" i="17" s="1"/>
  <c r="L8" i="17" a="1"/>
  <c r="L8" i="17" s="1"/>
  <c r="L9" i="17" a="1"/>
  <c r="L9" i="17" s="1"/>
  <c r="L10" i="17" a="1"/>
  <c r="L10" i="17" s="1"/>
  <c r="L11" i="17" a="1"/>
  <c r="L11" i="17" s="1"/>
  <c r="L12" i="17" a="1"/>
  <c r="L12" i="17" s="1"/>
  <c r="L13" i="17" a="1"/>
  <c r="L13" i="17" s="1"/>
  <c r="L14" i="17" a="1"/>
  <c r="L14" i="17" s="1"/>
  <c r="L15" i="17" a="1"/>
  <c r="L15" i="17" s="1"/>
  <c r="L16" i="17" a="1"/>
  <c r="L16" i="17" s="1"/>
  <c r="L17" i="17" a="1"/>
  <c r="L17" i="17" s="1"/>
  <c r="L18" i="17" a="1"/>
  <c r="L18" i="17" s="1"/>
  <c r="L19" i="17" a="1"/>
  <c r="L19" i="17" s="1"/>
  <c r="L20" i="17" a="1"/>
  <c r="L20" i="17" s="1"/>
  <c r="L21" i="17" a="1"/>
  <c r="L21" i="17" s="1"/>
  <c r="L22" i="17" a="1"/>
  <c r="L22" i="17" s="1"/>
  <c r="L23" i="17" a="1"/>
  <c r="L23" i="17" s="1"/>
  <c r="L24" i="17" a="1"/>
  <c r="L24" i="17" s="1"/>
  <c r="L25" i="17" a="1"/>
  <c r="L25" i="17" s="1"/>
  <c r="L26" i="17" a="1"/>
  <c r="L26" i="17" s="1"/>
  <c r="L27" i="17" a="1"/>
  <c r="L27" i="17" s="1"/>
  <c r="L28" i="17" a="1"/>
  <c r="L28" i="17" s="1"/>
  <c r="L29" i="17" a="1"/>
  <c r="L29" i="17" s="1"/>
  <c r="L30" i="17" a="1"/>
  <c r="L30" i="17" s="1"/>
  <c r="L31" i="17" a="1"/>
  <c r="L31" i="17" s="1"/>
  <c r="L32" i="17" a="1"/>
  <c r="L32" i="17" s="1"/>
  <c r="L33" i="17" a="1"/>
  <c r="L33" i="17" s="1"/>
  <c r="L34" i="17" a="1"/>
  <c r="L34" i="17" s="1"/>
  <c r="L35" i="17" a="1"/>
  <c r="L35" i="17" s="1"/>
  <c r="L36" i="17" a="1"/>
  <c r="L36" i="17" s="1"/>
  <c r="L37" i="17" a="1"/>
  <c r="L37" i="17" s="1"/>
  <c r="L38" i="17" a="1"/>
  <c r="L38" i="17" s="1"/>
  <c r="L39" i="17" a="1"/>
  <c r="L39" i="17" s="1"/>
  <c r="L40" i="17" a="1"/>
  <c r="L40" i="17" s="1"/>
  <c r="L41" i="17" a="1"/>
  <c r="L41" i="17" s="1"/>
  <c r="L2" i="9" a="1"/>
  <c r="L2" i="9" s="1"/>
  <c r="L3" i="9" a="1"/>
  <c r="L3" i="9" s="1"/>
  <c r="L4" i="9" a="1"/>
  <c r="L4" i="9" s="1"/>
  <c r="L5" i="9" a="1"/>
  <c r="L5" i="9" s="1"/>
  <c r="L6" i="9" a="1"/>
  <c r="L6" i="9" s="1"/>
  <c r="L7" i="9" a="1"/>
  <c r="L7" i="9" s="1"/>
  <c r="L8" i="9" a="1"/>
  <c r="L8" i="9" s="1"/>
  <c r="L9" i="9" a="1"/>
  <c r="L9" i="9" s="1"/>
  <c r="L10" i="9" a="1"/>
  <c r="L10" i="9" s="1"/>
  <c r="L11" i="9" a="1"/>
  <c r="L11" i="9" s="1"/>
  <c r="L12" i="9" a="1"/>
  <c r="L12" i="9" s="1"/>
  <c r="L13" i="9" a="1"/>
  <c r="L13" i="9" s="1"/>
  <c r="L14" i="9" a="1"/>
  <c r="L14" i="9" s="1"/>
  <c r="L15" i="9" a="1"/>
  <c r="L15" i="9" s="1"/>
  <c r="L16" i="9" a="1"/>
  <c r="L16" i="9" s="1"/>
  <c r="L17" i="9" a="1"/>
  <c r="L17" i="9" s="1"/>
  <c r="L18" i="9" a="1"/>
  <c r="L18" i="9" s="1"/>
  <c r="L19" i="9" a="1"/>
  <c r="L19" i="9" s="1"/>
  <c r="L20" i="9" a="1"/>
  <c r="L20" i="9" s="1"/>
  <c r="L21" i="9" a="1"/>
  <c r="L21" i="9" s="1"/>
  <c r="L22" i="9" a="1"/>
  <c r="L22" i="9" s="1"/>
  <c r="L23" i="9" a="1"/>
  <c r="L23" i="9" s="1"/>
  <c r="L24" i="9" a="1"/>
  <c r="L24" i="9" s="1"/>
  <c r="L25" i="9" a="1"/>
  <c r="L25" i="9" s="1"/>
  <c r="L26" i="9" a="1"/>
  <c r="L26" i="9" s="1"/>
  <c r="L27" i="9" a="1"/>
  <c r="L27" i="9" s="1"/>
  <c r="L28" i="9" a="1"/>
  <c r="L28" i="9" s="1"/>
  <c r="L29" i="9" a="1"/>
  <c r="L29" i="9" s="1"/>
  <c r="L30" i="9" a="1"/>
  <c r="L30" i="9" s="1"/>
  <c r="L31" i="9" a="1"/>
  <c r="L31" i="9" s="1"/>
  <c r="L32" i="9" a="1"/>
  <c r="L32" i="9" s="1"/>
  <c r="L33" i="9" a="1"/>
  <c r="L33" i="9" s="1"/>
  <c r="L34" i="9" a="1"/>
  <c r="L34" i="9" s="1"/>
  <c r="L35" i="9" a="1"/>
  <c r="L35" i="9" s="1"/>
  <c r="L36" i="9" a="1"/>
  <c r="L36" i="9" s="1"/>
  <c r="L37" i="9" a="1"/>
  <c r="L37" i="9" s="1"/>
  <c r="L38" i="9" a="1"/>
  <c r="L38" i="9" s="1"/>
  <c r="L39" i="9" a="1"/>
  <c r="L39" i="9" s="1"/>
  <c r="L40" i="9" a="1"/>
  <c r="L40" i="9" s="1"/>
  <c r="L41" i="9" a="1"/>
  <c r="L41" i="9" s="1"/>
  <c r="L2" i="10" a="1"/>
  <c r="L2" i="10" s="1"/>
  <c r="L3" i="10" a="1"/>
  <c r="L3" i="10" s="1"/>
  <c r="L4" i="10" a="1"/>
  <c r="L4" i="10" s="1"/>
  <c r="L5" i="10" a="1"/>
  <c r="L5" i="10" s="1"/>
  <c r="L6" i="10" a="1"/>
  <c r="L6" i="10" s="1"/>
  <c r="L7" i="10" a="1"/>
  <c r="L7" i="10" s="1"/>
  <c r="L8" i="10" a="1"/>
  <c r="L8" i="10" s="1"/>
  <c r="L9" i="10" a="1"/>
  <c r="L9" i="10" s="1"/>
  <c r="L10" i="10" a="1"/>
  <c r="L10" i="10" s="1"/>
  <c r="L11" i="10" a="1"/>
  <c r="L11" i="10" s="1"/>
  <c r="L12" i="10" a="1"/>
  <c r="L12" i="10" s="1"/>
  <c r="L13" i="10" a="1"/>
  <c r="L13" i="10" s="1"/>
  <c r="L14" i="10" a="1"/>
  <c r="L14" i="10" s="1"/>
  <c r="L15" i="10" a="1"/>
  <c r="L15" i="10" s="1"/>
  <c r="L16" i="10" a="1"/>
  <c r="L16" i="10" s="1"/>
  <c r="L17" i="10" a="1"/>
  <c r="L17" i="10" s="1"/>
  <c r="L18" i="10" a="1"/>
  <c r="L18" i="10" s="1"/>
  <c r="L19" i="10" a="1"/>
  <c r="L19" i="10" s="1"/>
  <c r="L20" i="10" a="1"/>
  <c r="L20" i="10" s="1"/>
  <c r="L21" i="10" a="1"/>
  <c r="L21" i="10" s="1"/>
  <c r="L22" i="10" a="1"/>
  <c r="L22" i="10" s="1"/>
  <c r="L23" i="10" a="1"/>
  <c r="L23" i="10" s="1"/>
  <c r="L24" i="10" a="1"/>
  <c r="L24" i="10" s="1"/>
  <c r="L25" i="10" a="1"/>
  <c r="L25" i="10" s="1"/>
  <c r="L26" i="10" a="1"/>
  <c r="L26" i="10" s="1"/>
  <c r="L27" i="10" a="1"/>
  <c r="L27" i="10" s="1"/>
  <c r="L28" i="10" a="1"/>
  <c r="L28" i="10" s="1"/>
  <c r="L29" i="10" a="1"/>
  <c r="L29" i="10" s="1"/>
  <c r="L30" i="10" a="1"/>
  <c r="L30" i="10" s="1"/>
  <c r="L31" i="10" a="1"/>
  <c r="L31" i="10" s="1"/>
  <c r="L32" i="10" a="1"/>
  <c r="L32" i="10" s="1"/>
  <c r="L33" i="10" a="1"/>
  <c r="L33" i="10" s="1"/>
  <c r="L34" i="10" a="1"/>
  <c r="L34" i="10" s="1"/>
  <c r="L35" i="10" a="1"/>
  <c r="L35" i="10" s="1"/>
  <c r="L36" i="10" a="1"/>
  <c r="L36" i="10" s="1"/>
  <c r="L37" i="10" a="1"/>
  <c r="L37" i="10" s="1"/>
  <c r="L38" i="10" a="1"/>
  <c r="L38" i="10" s="1"/>
  <c r="L39" i="10" a="1"/>
  <c r="L39" i="10" s="1"/>
  <c r="L40" i="10" a="1"/>
  <c r="L40" i="10" s="1"/>
  <c r="L41" i="10" a="1"/>
  <c r="L41" i="10" s="1"/>
  <c r="O2" i="8" a="1"/>
  <c r="O2" i="8" s="1"/>
  <c r="O3" i="8" a="1"/>
  <c r="O3" i="8" s="1"/>
  <c r="O4" i="8" a="1"/>
  <c r="O4" i="8" s="1"/>
  <c r="O5" i="8" a="1"/>
  <c r="O5" i="8" s="1"/>
  <c r="O6" i="8" a="1"/>
  <c r="O6" i="8" s="1"/>
  <c r="O7" i="8" a="1"/>
  <c r="O7" i="8" s="1"/>
  <c r="O8" i="8" a="1"/>
  <c r="O8" i="8" s="1"/>
  <c r="O9" i="8" a="1"/>
  <c r="O9" i="8" s="1"/>
  <c r="O10" i="8" a="1"/>
  <c r="O10" i="8" s="1"/>
  <c r="O11" i="8" a="1"/>
  <c r="O11" i="8" s="1"/>
  <c r="O12" i="8" a="1"/>
  <c r="O12" i="8" s="1"/>
  <c r="O13" i="8" a="1"/>
  <c r="O13" i="8" s="1"/>
  <c r="O14" i="8" a="1"/>
  <c r="O14" i="8" s="1"/>
  <c r="O15" i="8" a="1"/>
  <c r="O15" i="8" s="1"/>
  <c r="O16" i="8" a="1"/>
  <c r="O16" i="8" s="1"/>
  <c r="O17" i="8" a="1"/>
  <c r="O17" i="8" s="1"/>
  <c r="O18" i="8" a="1"/>
  <c r="O18" i="8" s="1"/>
  <c r="O19" i="8" a="1"/>
  <c r="O19" i="8" s="1"/>
  <c r="O20" i="8" a="1"/>
  <c r="O20" i="8" s="1"/>
  <c r="O21" i="8" a="1"/>
  <c r="O21" i="8" s="1"/>
  <c r="O22" i="8" a="1"/>
  <c r="O22" i="8" s="1"/>
  <c r="O23" i="8" a="1"/>
  <c r="O23" i="8" s="1"/>
  <c r="O24" i="8" a="1"/>
  <c r="O24" i="8" s="1"/>
  <c r="O25" i="8" a="1"/>
  <c r="O25" i="8" s="1"/>
  <c r="O26" i="8" a="1"/>
  <c r="O26" i="8" s="1"/>
  <c r="O27" i="8" a="1"/>
  <c r="O27" i="8" s="1"/>
  <c r="O28" i="8" a="1"/>
  <c r="O28" i="8" s="1"/>
  <c r="O29" i="8" a="1"/>
  <c r="O29" i="8" s="1"/>
  <c r="O30" i="8" a="1"/>
  <c r="O30" i="8" s="1"/>
  <c r="O31" i="8" a="1"/>
  <c r="O31" i="8" s="1"/>
  <c r="O32" i="8" a="1"/>
  <c r="O32" i="8" s="1"/>
  <c r="O33" i="8" a="1"/>
  <c r="O33" i="8" s="1"/>
  <c r="O34" i="8" a="1"/>
  <c r="O34" i="8" s="1"/>
  <c r="O35" i="8" a="1"/>
  <c r="O35" i="8" s="1"/>
  <c r="O36" i="8" a="1"/>
  <c r="O36" i="8" s="1"/>
  <c r="O37" i="8" a="1"/>
  <c r="O37" i="8" s="1"/>
  <c r="O38" i="8" a="1"/>
  <c r="O38" i="8" s="1"/>
  <c r="O39" i="8" a="1"/>
  <c r="O39" i="8" s="1"/>
  <c r="O40" i="8" a="1"/>
  <c r="O40" i="8" s="1"/>
  <c r="O41" i="8" a="1"/>
  <c r="O41" i="8" s="1"/>
  <c r="L2" i="13"/>
  <c r="L3" i="13"/>
  <c r="L4" i="13"/>
  <c r="L5" i="13"/>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K2"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O43" i="11"/>
  <c r="O44" i="11"/>
  <c r="O45" i="11"/>
  <c r="O46" i="11"/>
  <c r="O47" i="11"/>
  <c r="O48" i="11"/>
  <c r="O49" i="11"/>
  <c r="O50" i="11"/>
  <c r="O51" i="11"/>
  <c r="O42" i="11"/>
  <c r="O72" i="11"/>
  <c r="O73" i="11"/>
  <c r="O74" i="11"/>
  <c r="O75" i="11"/>
  <c r="O76" i="11"/>
  <c r="O77" i="11"/>
  <c r="O78" i="11"/>
  <c r="O79" i="11"/>
  <c r="O80" i="11"/>
  <c r="O81" i="11"/>
  <c r="O62" i="11"/>
  <c r="O63" i="11"/>
  <c r="O64" i="11"/>
  <c r="O65" i="11"/>
  <c r="O66" i="11"/>
  <c r="O67" i="11"/>
  <c r="O68" i="11"/>
  <c r="O69" i="11"/>
  <c r="O70" i="11"/>
  <c r="O71" i="11"/>
  <c r="O82" i="11"/>
  <c r="O83" i="11"/>
  <c r="O84" i="11"/>
  <c r="O85" i="11"/>
  <c r="O86" i="11"/>
  <c r="O87" i="11"/>
  <c r="O88" i="11"/>
  <c r="O89" i="11"/>
  <c r="O90" i="11"/>
  <c r="O91"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<sst xmlns="http://schemas.openxmlformats.org/spreadsheetml/2006/main" count="8400" uniqueCount="472">
  <si>
    <t>problem</t>
  </si>
  <si>
    <t>instance</t>
  </si>
  <si>
    <t>instance_details</t>
  </si>
  <si>
    <t>llm</t>
  </si>
  <si>
    <t>ulysses16</t>
  </si>
  <si>
    <t>llama3</t>
  </si>
  <si>
    <t>GPT 3.5</t>
  </si>
  <si>
    <t>GPT 4</t>
  </si>
  <si>
    <t>Gemini</t>
  </si>
  <si>
    <t>Mistral AI</t>
  </si>
  <si>
    <t>burma14</t>
  </si>
  <si>
    <t>ulysses22</t>
  </si>
  <si>
    <t>bays29</t>
  </si>
  <si>
    <t>chn30</t>
  </si>
  <si>
    <t>att48</t>
  </si>
  <si>
    <t>chn20</t>
  </si>
  <si>
    <t>abz5</t>
  </si>
  <si>
    <t>ft06</t>
  </si>
  <si>
    <t>la10</t>
  </si>
  <si>
    <t>la20</t>
  </si>
  <si>
    <t>orb01</t>
  </si>
  <si>
    <t>ft10</t>
  </si>
  <si>
    <t>abz6</t>
  </si>
  <si>
    <t>la02</t>
  </si>
  <si>
    <t>la13</t>
  </si>
  <si>
    <t>f1_l-d_kp_10_269</t>
  </si>
  <si>
    <t>f2_l-d_kp_20_878</t>
  </si>
  <si>
    <t>f3_l-d_kp_4_20</t>
  </si>
  <si>
    <t>f4_l-d_kp_4_11</t>
  </si>
  <si>
    <t>f5_l-d_kp_15_375</t>
  </si>
  <si>
    <t>f6_l-d_kp_10_60</t>
  </si>
  <si>
    <t>f7_l-d_kp_7_50</t>
  </si>
  <si>
    <t>f8_l-d_kp_23_10000</t>
  </si>
  <si>
    <t>f9_l-d_kp_5_80</t>
  </si>
  <si>
    <t>f10_l-d_kp_20_879</t>
  </si>
  <si>
    <t>KP</t>
  </si>
  <si>
    <t>default</t>
  </si>
  <si>
    <t>run</t>
  </si>
  <si>
    <t>Initial</t>
  </si>
  <si>
    <t>MHA</t>
  </si>
  <si>
    <t>epoch</t>
  </si>
  <si>
    <t>pop_size</t>
  </si>
  <si>
    <t>pc</t>
  </si>
  <si>
    <t>pm</t>
  </si>
  <si>
    <t>selection</t>
  </si>
  <si>
    <t>crossover</t>
  </si>
  <si>
    <t>mutation_multipoints</t>
  </si>
  <si>
    <t>mutation</t>
  </si>
  <si>
    <t>tournament</t>
  </si>
  <si>
    <t>uniform</t>
  </si>
  <si>
    <t>True</t>
  </si>
  <si>
    <t>flip</t>
  </si>
  <si>
    <t>Feedback</t>
  </si>
  <si>
    <t>_items_capacity</t>
  </si>
  <si>
    <t>temp_init</t>
  </si>
  <si>
    <t>step_size</t>
  </si>
  <si>
    <t>c1</t>
  </si>
  <si>
    <t>c2</t>
  </si>
  <si>
    <t>w</t>
  </si>
  <si>
    <t>roulette</t>
  </si>
  <si>
    <t>one_point</t>
  </si>
  <si>
    <t>False</t>
  </si>
  <si>
    <t>swap</t>
  </si>
  <si>
    <t>multi_points</t>
  </si>
  <si>
    <t>scramble</t>
  </si>
  <si>
    <t>random</t>
  </si>
  <si>
    <t>arithmetic</t>
  </si>
  <si>
    <t>GA</t>
  </si>
  <si>
    <t>JSSP</t>
  </si>
  <si>
    <t>SA</t>
  </si>
  <si>
    <t>PSO</t>
  </si>
  <si>
    <t>10_10</t>
  </si>
  <si>
    <t>la01</t>
  </si>
  <si>
    <t>20_5</t>
  </si>
  <si>
    <t>15_5</t>
  </si>
  <si>
    <t>10_5</t>
  </si>
  <si>
    <t>6_6</t>
  </si>
  <si>
    <t>sample_count</t>
  </si>
  <si>
    <t>intent_factor</t>
  </si>
  <si>
    <t>zeta</t>
  </si>
  <si>
    <t>TSP</t>
  </si>
  <si>
    <t>ACO</t>
  </si>
  <si>
    <t>period1</t>
  </si>
  <si>
    <t>vrp8</t>
  </si>
  <si>
    <t>vrp9</t>
  </si>
  <si>
    <t>GCP</t>
  </si>
  <si>
    <t>myciel3</t>
  </si>
  <si>
    <t>myciel4</t>
  </si>
  <si>
    <t>myciel5</t>
  </si>
  <si>
    <t>myciel6</t>
  </si>
  <si>
    <t>myciel7</t>
  </si>
  <si>
    <t>11 20</t>
  </si>
  <si>
    <t>23 71</t>
  </si>
  <si>
    <t>47 236</t>
  </si>
  <si>
    <t>95 755</t>
  </si>
  <si>
    <t>191 2360</t>
  </si>
  <si>
    <t>queen5_5</t>
  </si>
  <si>
    <t>queen6_6</t>
  </si>
  <si>
    <t>queen7_7</t>
  </si>
  <si>
    <t>25 160</t>
  </si>
  <si>
    <t>36 290</t>
  </si>
  <si>
    <t>49 476</t>
  </si>
  <si>
    <t>queen8_8</t>
  </si>
  <si>
    <t>64 728</t>
  </si>
  <si>
    <t>queen9_9</t>
  </si>
  <si>
    <t>81 2112</t>
  </si>
  <si>
    <t>prompt</t>
  </si>
  <si>
    <t>Claude</t>
  </si>
  <si>
    <t>details</t>
  </si>
  <si>
    <t>GPT-4o</t>
  </si>
  <si>
    <t>Mistral</t>
  </si>
  <si>
    <t>I'm solving a TSP of 14 cities with the use of SA. I used parameter values previously suggested by you: epoch=500.0 , pop_size=50.0 , temp_init=1000.0 , step_size=0.1 . I did run it 30 times and averaged the results. I got global minimum of 42.99 with std of 1.02. The solution at last epoch had avg fitness of 42.99 with std of 3.67. What changes to the parameters would you suggest to improve performance?Keep the epoch * pop_size constant.</t>
  </si>
  <si>
    <t>I'm solving a TSP of 16 cities with the use of SA. I used parameter values previously suggested by you: epoch=1000.0 , pop_size=50.0 , temp_init=100.0 , step_size=1.0 . I did run it 30 times and averaged the results. I got global minimum of 86.37 with std of 4.46. The solution at last epoch had avg fitness of 86.37 with std of 9.45. What changes to the parameters would you suggest to improve performance?Keep the epoch * pop_size constant.</t>
  </si>
  <si>
    <t>I'm solving a TSP of 20 cities with the use of SA. I used parameter values previously suggested by you: epoch=1000.0 , pop_size=50.0 , temp_init=1000.0 , step_size=0.1 . I did run it 30 times and averaged the results. I got global minimum of 18202.95 with std of 611.95. The solution at last epoch had avg fitness of 18202.95 with std of 1304.7. What changes to the parameters would you suggest to improve performance?Keep the epoch * pop_size constant.</t>
  </si>
  <si>
    <t>I'm solving a TSP of 22 cities with the use of SA. I used parameter values previously suggested by you: epoch=1000.0 , pop_size=50.0 , temp_init=100.0 , step_size=0.1 . I did run it 30 times and averaged the results. I got global minimum of 123.22 with std of 4.71. The solution at last epoch had avg fitness of 123.22 with std of 10.11. What changes to the parameters would you suggest to improve performance?Keep the epoch * pop_size constant.</t>
  </si>
  <si>
    <t>I'm solving a TSP of 29 cities with the use of SA. I used parameter values previously suggested by you: epoch=1000.0 , pop_size=50.0 , temp_init=10000.0 , step_size=0.1 . I did run it 30 times and averaged the results. I got global minimum of 18511.2 with std of 840.98. The solution at last epoch had avg fitness of 18511.2 with std of 1140.24. What changes to the parameters would you suggest to improve performance?Keep the epoch * pop_size constant.</t>
  </si>
  <si>
    <t>I'm solving a TSP of 30 cities with the use of SA. I used parameter values previously suggested by you: epoch=3000.0 , pop_size=50.0 , temp_init=1000.0 , step_size=0.1 . I did run it 30 times and averaged the results. I got global minimum of 29022.25 with std of 1167.13. The solution at last epoch had avg fitness of 29022.25 with std of 2175.36. What changes to the parameters would you suggest to improve performance?Keep the epoch * pop_size constant.</t>
  </si>
  <si>
    <t>I'm solving a TSP of 48 cities with the use of SA. I used parameter values previously suggested by you: epoch=1000.0 , pop_size=50.0 , temp_init=1000.0 , step_size=0.1 . I did run it 30 times and averaged the results. I got global minimum of 111541.19 with std of 4904.38. The solution at last epoch had avg fitness of 111541.19 with std of 7206.5. What changes to the parameters would you suggest to improve performance?Keep the epoch * pop_size constant.</t>
  </si>
  <si>
    <t>I'm solving a TSP of 50 cities with the use of SA. I used parameter values previously suggested by you: epoch=1000.0 , pop_size=50.0 , temp_init=1000.0 , step_size=0.1 . I did run it 30 times and averaged the results. I got global minimum of 1219.0 with std of 51.04. The solution at last epoch had avg fitness of 1219.0 with std of 58.62. What changes to the parameters would you suggest to improve performance?Keep the epoch * pop_size constant.</t>
  </si>
  <si>
    <t>I'm solving a TSP of 75 cities with the use of SA. I used parameter values previously suggested by you: epoch=500.0 , pop_size=20.0 , temp_init=1000.0 , step_size=5.0 . I did run it 30 times and averaged the results. I got global minimum of 2091.17 with std of 51.86. The solution at last epoch had avg fitness of 2091.17 with std of 75.72. What changes to the parameters would you suggest to improve performance?Keep the epoch * pop_size constant.</t>
  </si>
  <si>
    <t>I'm solving a TSP of 127 cities with the use of SA. I used parameter values previously suggested by you: epoch=1000.0 , pop_size=50.0 , temp_init=1000.0 , step_size=5.0 . I did run it 30 times and averaged the results. I got global minimum of 1496.8 with std of 17.75. The solution at last epoch had avg fitness of 1496.8 with std of 29.07. What changes to the parameters would you suggest to improve performance?Keep the epoch * pop_size constant.</t>
  </si>
  <si>
    <t>I'm solving a TSP of 14 cities with the use of SA. I used parameter values previously suggested by you: epoch=1000.0 , pop_size=2.0 , temp_init=1000.0 , step_size=1.0 . I did run it 30 times and averaged the results. I got global minimum of 40.74 with std of 2.86. The solution at last epoch had avg fitness of 40.74 with std of 3.81. What changes to the parameters would you suggest to improve performance?Keep the epoch * pop_size constant.</t>
  </si>
  <si>
    <t>I'm solving a TSP of 16 cities with the use of SA. I used parameter values previously suggested by you: epoch=1000.0 , pop_size=30.0 , temp_init=1000.0 , step_size=2.0 . I did run it 30 times and averaged the results. I got global minimum of 91.51 with std of 5.92. The solution at last epoch had avg fitness of 91.51 with std of 8.66. What changes to the parameters would you suggest to improve performance?Keep the epoch * pop_size constant.</t>
  </si>
  <si>
    <t>I'm solving a TSP of 20 cities with the use of SA. I used parameter values previously suggested by you: epoch=1000.0 , pop_size=50.0 , temp_init=1000.0 , step_size=1.0 . I did run it 30 times and averaged the results. I got global minimum of 16997.9 with std of 714.56. The solution at last epoch had avg fitness of 16997.9 with std of 1753.07. What changes to the parameters would you suggest to improve performance?Keep the epoch * pop_size constant.</t>
  </si>
  <si>
    <t>I'm solving a TSP of 22 cities with the use of SA. I used parameter values previously suggested by you: epoch=1000.0 , pop_size=50.0 , temp_init=1000.0 , step_size=5.0 . I did run it 30 times and averaged the results. I got global minimum of 111.36 with std of 9.72. The solution at last epoch had avg fitness of 111.36 with std of 13.73. What changes to the parameters would you suggest to improve performance?Keep the epoch * pop_size constant.</t>
  </si>
  <si>
    <t>I'm solving a TSP of 29 cities with the use of SA. I used parameter values previously suggested by you: epoch=1000.0 , pop_size=50.0 , temp_init=1000.0 , step_size=1.0 . I did run it 30 times and averaged the results. I got global minimum of 17591.04 with std of 821.42. The solution at last epoch had avg fitness of 17591.04 with std of 1237.0. What changes to the parameters would you suggest to improve performance?Keep the epoch * pop_size constant.</t>
  </si>
  <si>
    <t>I'm solving a TSP of 30 cities with the use of SA. I used parameter values previously suggested by you: epoch=1000.0 , pop_size=50.0 , temp_init=1000.0 , step_size=5.0 . I did run it 30 times and averaged the results. I got global minimum of 30079.16 with std of 1002.97. The solution at last epoch had avg fitness of 30079.16 with std of 2056.44. What changes to the parameters would you suggest to improve performance?Keep the epoch * pop_size constant.</t>
  </si>
  <si>
    <t>I'm solving a TSP of 48 cities with the use of SA. I used parameter values previously suggested by you: epoch=1000.0 , pop_size=50.0 , temp_init=1000.0 , step_size=5.0 . I did run it 30 times and averaged the results. I got global minimum of 113759.44 with std of 3902.08. The solution at last epoch had avg fitness of 113759.44 with std of 8764.77. What changes to the parameters would you suggest to improve performance?Keep the epoch * pop_size constant.</t>
  </si>
  <si>
    <t>I'm solving a TSP of 50 cities with the use of SA. I used parameter values previously suggested by you: epoch=1000.0 , pop_size=20.0 , temp_init=1000.0 , step_size=1.0 . I did run it 30 times and averaged the results. I got global minimum of 1247.31 with std of 44.05. The solution at last epoch had avg fitness of 1247.31 with std of 72.91. What changes to the parameters would you suggest to improve performance?Keep the epoch * pop_size constant.</t>
  </si>
  <si>
    <t>I'm solving a TSP of 75 cities with the use of SA. I used parameter values previously suggested by you: epoch=500.0 , pop_size=14.0 , temp_init=1000.0 , step_size=5.0 . I did run it 30 times and averaged the results. I got global minimum of 2121.38 with std of 34.37. The solution at last epoch had avg fitness of 2121.38 with std of 63.22. What changes to the parameters would you suggest to improve performance?Keep the epoch * pop_size constant.</t>
  </si>
  <si>
    <t>I'm solving a TSP of 127 cities with the use of SA. I used parameter values previously suggested by you: epoch=500.0 , pop_size=16.0 , temp_init=1000.0 , step_size=10.0 . I did run it 30 times and averaged the results. I got global minimum of 1514.88 with std of 23.99. The solution at last epoch had avg fitness of 1514.88 with std of 27.93. What changes to the parameters would you suggest to improve performance?Keep the epoch * pop_size constant.</t>
  </si>
  <si>
    <t>I'm solving a TSP of 14 cities with the use of SA. I used parameter values previously suggested by you: epoch=500.0 , pop_size=20.0 , temp_init=1000.0 , step_size=50.0 . I did run it 30 times and averaged the results. I got global minimum of 42.77 with std of 1.27. The solution at last epoch had avg fitness of 42.77 with std of 2.76. What changes to the parameters would you suggest to improve performance?Keep the epoch * pop_size constant.</t>
  </si>
  <si>
    <t>I'm solving a TSP of 16 cities with the use of SA. I used parameter values previously suggested by you: epoch=500.0 , pop_size=22.0 , temp_init=1000.0 , step_size=10.0 . I did run it 30 times and averaged the results. I got global minimum of 95.62 with std of 5.2. The solution at last epoch had avg fitness of 95.62 with std of 9.57. What changes to the parameters would you suggest to improve performance?Keep the epoch * pop_size constant.</t>
  </si>
  <si>
    <t>I'm solving a TSP of 20 cities with the use of SA. I used parameter values previously suggested by you: epoch=500.0 , pop_size=30.0 , temp_init=100.0 , step_size=5.0 . I did run it 30 times and averaged the results. I got global minimum of 17354.77 with std of 869.87. The solution at last epoch had avg fitness of 17354.77 with std of 1254.44. What changes to the parameters would you suggest to improve performance?Keep the epoch * pop_size constant.</t>
  </si>
  <si>
    <t>I'm solving a TSP of 22 cities with the use of SA. I used parameter values previously suggested by you: epoch=500.0 , pop_size=30.0 , temp_init=100.0 , step_size=5.0 . I did run it 30 times and averaged the results. I got global minimum of 119.13 with std of 6.48. The solution at last epoch had avg fitness of 119.13 with std of 11.21. What changes to the parameters would you suggest to improve performance?Keep the epoch * pop_size constant.</t>
  </si>
  <si>
    <t>I'm solving a TSP of 29 cities with the use of SA. I used parameter values previously suggested by you: epoch=500.0 , pop_size=48.0 , temp_init=1000.0 , step_size=10.0 . I did run it 30 times and averaged the results. I got global minimum of 19443.64 with std of 686.93. The solution at last epoch had avg fitness of 19443.64 with std of 1381.44. What changes to the parameters would you suggest to improve performance?Keep the epoch * pop_size constant.</t>
  </si>
  <si>
    <t>I'm solving a TSP of 30 cities with the use of SA. I used parameter values previously suggested by you: epoch=500.0 , pop_size=25.0 , temp_init=100.0 , step_size=5.0 . I did run it 30 times and averaged the results. I got global minimum of 31537.94 with std of 985.36. The solution at last epoch had avg fitness of 31537.94 with std of 1500.09. What changes to the parameters would you suggest to improve performance?Keep the epoch * pop_size constant.</t>
  </si>
  <si>
    <t>I'm solving a TSP of 48 cities with the use of SA. I used parameter values previously suggested by you: epoch=500.0 , pop_size=75.0 , temp_init=100.0 , step_size=2.0 . I did run it 30 times and averaged the results. I got global minimum of 113908.68 with std of 4137.23. The solution at last epoch had avg fitness of 113908.68 with std of 7851.33. What changes to the parameters would you suggest to improve performance?Keep the epoch * pop_size constant.</t>
  </si>
  <si>
    <t>I'm solving a TSP of 50 cities with the use of SA. I used parameter values previously suggested by you: epoch=500.0 , pop_size=50.0 , temp_init=1000.0 , step_size=5.0 . I did run it 30 times and averaged the results. I got global minimum of 1303.9 with std of 37.1. The solution at last epoch had avg fitness of 1303.9 with std of 54.91. What changes to the parameters would you suggest to improve performance?Keep the epoch * pop_size constant.</t>
  </si>
  <si>
    <t>I'm solving a TSP of 75 cities with the use of SA. I used parameter values previously suggested by you: epoch=500.0 , pop_size=10.0 , temp_init=100.0 , step_size=0.95 . I did run it 30 times and averaged the results. I got global minimum of 2046.76 with std of 55.2. The solution at last epoch had avg fitness of 2046.76 with std of 86.78. What changes to the parameters would you suggest to improve performance?Keep the epoch * pop_size constant.</t>
  </si>
  <si>
    <t>I'm solving a TSP of 127 cities with the use of SA. I used parameter values previously suggested by you: epoch=1000.0 , pop_size=10.0 , temp_init=1000.0 , step_size=10.0 . I did run it 30 times and averaged the results. I got global minimum of 1493.92 with std of 24.24. The solution at last epoch had avg fitness of 1493.92 with std of 29.48. What changes to the parameters would you suggest to improve performance?Keep the epoch * pop_size constant.</t>
  </si>
  <si>
    <t>I'm solving a TSP of 14 cities with the use of SA. I used parameter values previously suggested by you: epoch=1000.0 , pop_size=2.0 , temp_init=1000.0 , step_size=0.95 . I did run it 30 times and averaged the results. I got global minimum of 41.32 with std of 2.84. The solution at last epoch had avg fitness of 41.32 with std of 4.21. What changes to the parameters would you suggest to improve performance?Keep the epoch * pop_size constant.</t>
  </si>
  <si>
    <t>I'm solving a TSP of 16 cities with the use of SA. I used parameter values previously suggested by you: epoch=1000.0 , pop_size=22.0 , temp_init=1000.0 , step_size=99.0 . I did run it 30 times and averaged the results. I got global minimum of 92.93 with std of 6.25. The solution at last epoch had avg fitness of 92.93 with std of 8.75. What changes to the parameters would you suggest to improve performance?Keep the epoch * pop_size constant.</t>
  </si>
  <si>
    <t>I'm solving a TSP of 20 cities with the use of SA. I used parameter values previously suggested by you: epoch=1000.0 , pop_size=50.0 , temp_init=1000.0 , step_size=10.0 . I did run it 30 times and averaged the results. I got global minimum of 16657.86 with std of 1053.76. The solution at last epoch had avg fitness of 16657.86 with std of 1554.12. What changes to the parameters would you suggest to improve performance?Keep the epoch * pop_size constant.</t>
  </si>
  <si>
    <t>I'm solving a TSP of 22 cities with the use of SA. I used parameter values previously suggested by you: epoch=1000.0 , pop_size=30.0 , temp_init=100.0 , step_size=0.9 . I did run it 30 times and averaged the results. I got global minimum of 114.05 with std of 6.49. The solution at last epoch had avg fitness of 114.05 with std of 9.48. What changes to the parameters would you suggest to improve performance?Keep the epoch * pop_size constant.</t>
  </si>
  <si>
    <t>I'm solving a TSP of 29 cities with the use of SA. I used parameter values previously suggested by you: epoch=1000.0 , pop_size=10.0 , temp_init=1000.0 , step_size=99.0 . I did run it 30 times and averaged the results. I got global minimum of 19060.31 with std of 760.41. The solution at last epoch had avg fitness of 19060.31 with std of 1148.96. What changes to the parameters would you suggest to improve performance?Keep the epoch * pop_size constant.</t>
  </si>
  <si>
    <t>I'm solving a TSP of 30 cities with the use of SA. I used parameter values previously suggested by you: epoch=500.0 , pop_size=50.0 , temp_init=1000.0 , step_size=0.9 . I did run it 30 times and averaged the results. I got global minimum of 29786.73 with std of 998.52. The solution at last epoch had avg fitness of 29786.73 with std of 2101.87. What changes to the parameters would you suggest to improve performance?Keep the epoch * pop_size constant.</t>
  </si>
  <si>
    <t>I'm solving a TSP of 48 cities with the use of SA. I used parameter values previously suggested by you: epoch=1000.0 , pop_size=10.0 , temp_init=1000.0 , step_size=0.95 . I did run it 30 times and averaged the results. I got global minimum of 111576.36 with std of 4837.59. The solution at last epoch had avg fitness of 111576.36 with std of 8069.24. What changes to the parameters would you suggest to improve performance?Keep the epoch * pop_size constant.</t>
  </si>
  <si>
    <t>I'm solving a TSP of 50 cities with the use of SA. I used parameter values previously suggested by you: epoch=1000.0 , pop_size=10.0 , temp_init=100.0 , step_size=0.95 . I did run it 30 times and averaged the results. I got global minimum of 1231.93 with std of 44.78. The solution at last epoch had avg fitness of 1231.93 with std of 72.5. What changes to the parameters would you suggest to improve performance?Keep the epoch * pop_size constant.</t>
  </si>
  <si>
    <t>I'm solving a TSP of 75 cities with the use of SA. I used parameter values previously suggested by you: epoch=1000.0 , pop_size=100.0 , temp_init=1000.0 , step_size=0.99 . I did run it 30 times and averaged the results. I got global minimum of 1962.18 with std of 50.87. The solution at last epoch had avg fitness of 1962.18 with std of 77.07. What changes to the parameters would you suggest to improve performance?Keep the epoch * pop_size constant.</t>
  </si>
  <si>
    <t>I'm solving a TSP of 127 cities with the use of SA. I used parameter values previously suggested by you: epoch=1000.0 , pop_size=30.0 , temp_init=1000.0 , step_size=50.0 . I did run it 30 times and averaged the results. I got global minimum of 1504.77 with std of 17.96. The solution at last epoch had avg fitness of 1504.77 with std of 27.86. What changes to the parameters would you suggest to improve performance?Keep the epoch * pop_size constant.</t>
  </si>
  <si>
    <t>I'm solving a TSP of 14 cities with the use of ACO. I used parameter values previously suggested by you: epoch=100.0 , pop_size=50.0 , sample_count=30.0 , intent_factor=0.5 , zeta=2.0 . I did run it 30 times and averaged the results. I got global minimum of 40.1 with std of 1.08. The solution at last epoch had avg fitness of 40.1 with std of 1.9. What changes to the parameters would you suggest to improve performance?Keep the epoch * pop_size constant.</t>
  </si>
  <si>
    <t>I'm solving a TSP of 16 cities with the use of ACO. I used parameter values previously suggested by you: epoch=500.0 , pop_size=50.0 , sample_count=20.0 , intent_factor=0.5 , zeta=2.0 . I did run it 30 times and averaged the results. I got global minimum of 92.24 with std of 3.11. The solution at last epoch had avg fitness of 92.24 with std of 3.79. What changes to the parameters would you suggest to improve performance?Keep the epoch * pop_size constant.</t>
  </si>
  <si>
    <t>I'm solving a TSP of 20 cities with the use of ACO. I used parameter values previously suggested by you: epoch=1000.0 , pop_size=50.0 , sample_count=25.0 , intent_factor=0.5 , zeta=2.0 . I did run it 30 times and averaged the results. I got global minimum of 16885.65 with std of 528.88. The solution at last epoch had avg fitness of 16885.65 with std of 897.44. What changes to the parameters would you suggest to improve performance?Keep the epoch * pop_size constant.</t>
  </si>
  <si>
    <t>I'm solving a TSP of 22 cities with the use of ACO. I used parameter values previously suggested by you: epoch=500.0 , pop_size=100.0 , sample_count=25.0 , intent_factor=0.5 , zeta=2.0 . I did run it 30 times and averaged the results. I got global minimum of 118.38 with std of 4.12. The solution at last epoch had avg fitness of 118.38 with std of 4.69. What changes to the parameters would you suggest to improve performance?Keep the epoch * pop_size constant.</t>
  </si>
  <si>
    <t>I'm solving a TSP of 29 cities with the use of ACO. I used parameter values previously suggested by you: epoch=500.0 , pop_size=50.0 , sample_count=25.0 , intent_factor=0.5 , zeta=2.0 . I did run it 30 times and averaged the results. I got global minimum of 18673.51 with std of 548.5. The solution at last epoch had avg fitness of 18673.51 with std of 655.07. What changes to the parameters would you suggest to improve performance?Keep the epoch * pop_size constant.</t>
  </si>
  <si>
    <t>I'm solving a TSP of 30 cities with the use of ACO. I used parameter values previously suggested by you: epoch=500.0 , pop_size=50.0 , sample_count=20.0 , intent_factor=0.5 , zeta=2.0 . I did run it 30 times and averaged the results. I got global minimum of 30403.02 with std of 714.54. The solution at last epoch had avg fitness of 30403.02 with std of 835.68. What changes to the parameters would you suggest to improve performance?Keep the epoch * pop_size constant.</t>
  </si>
  <si>
    <t>I'm solving a TSP of 48 cities with the use of ACO. I used parameter values previously suggested by you: epoch=500.0 , pop_size=100.0 , sample_count=25.0 , intent_factor=0.5 , zeta=2.0 . I did run it 30 times and averaged the results. I got global minimum of 114277.65 with std of 2612.1. The solution at last epoch had avg fitness of 114277.65 with std of 3130.83. What changes to the parameters would you suggest to improve performance?Keep the epoch * pop_size constant.</t>
  </si>
  <si>
    <t>I'm solving a TSP of 50 cities with the use of ACO. I used parameter values previously suggested by you: epoch=100.0 , pop_size=50.0 , sample_count=25.0 , intent_factor=0.5 , zeta=2.0 . I did run it 30 times and averaged the results. I got global minimum of 1314.76 with std of 23.38. The solution at last epoch had avg fitness of 1314.76 with std of 25.83. What changes to the parameters would you suggest to improve performance?Keep the epoch * pop_size constant.</t>
  </si>
  <si>
    <t>I'm solving a TSP of 75 cities with the use of ACO. I used parameter values previously suggested by you: epoch=500.0 , pop_size=50.0 , sample_count=25.0 , intent_factor=0.5 , zeta=2.0 . I did run it 30 times and averaged the results. I got global minimum of 2048.84 with std of 33.87. The solution at last epoch had avg fitness of 2048.84 with std of 38.95. What changes to the parameters would you suggest to improve performance?Keep the epoch * pop_size constant.</t>
  </si>
  <si>
    <t>I'm solving a TSP of 127 cities with the use of ACO. I used parameter values previously suggested by you: epoch=500.0 , pop_size=100.0 , sample_count=25.0 , intent_factor=0.5 , zeta=2.0 . I did run it 30 times and averaged the results. I got global minimum of 1475.31 with std of 14.48. The solution at last epoch had avg fitness of 1475.31 with std of 17.44. What changes to the parameters would you suggest to improve performance?Keep the epoch * pop_size constant.</t>
  </si>
  <si>
    <t>I'm solving a TSP of 14 cities with the use of ACO. I used parameter values previously suggested by you: epoch=1000.0 , pop_size=50.0 , sample_count=10.0 , intent_factor=0.8 , zeta=2.0 . I did run it 30 times and averaged the results. I got global minimum of 38.22 with std of 1.5. The solution at last epoch had avg fitness of 38.22 with std of 1.09. What changes to the parameters would you suggest to improve performance?Keep the epoch * pop_size constant.</t>
  </si>
  <si>
    <t>I'm solving a TSP of 16 cities with the use of ACO. I used parameter values previously suggested by you: epoch=100.0 , pop_size=50.0 , sample_count=20.0 , intent_factor=0.8 , zeta=2.0 . I did run it 30 times and averaged the results. I got global minimum of 97.92 with std of 2.56. The solution at last epoch had avg fitness of 97.92 with std of 2.84. What changes to the parameters would you suggest to improve performance?Keep the epoch * pop_size constant.</t>
  </si>
  <si>
    <t>I'm solving a TSP of 20 cities with the use of ACO. I used parameter values previously suggested by you: epoch=100.0 , pop_size=50.0 , sample_count=10.0 , intent_factor=0.9 , zeta=2.0 . I did run it 30 times and averaged the results. I got global minimum of 18793.78 with std of 457.55. The solution at last epoch had avg fitness of 18793.78 with std of 620.92. What changes to the parameters would you suggest to improve performance?Keep the epoch * pop_size constant.</t>
  </si>
  <si>
    <t>I'm solving a TSP of 22 cities with the use of ACO. I used parameter values previously suggested by you: epoch=100.0 , pop_size=50.0 , sample_count=20.0 , intent_factor=0.7 , zeta=2.0 . I did run it 30 times and averaged the results. I got global minimum of 125.58 with std of 3.86. The solution at last epoch had avg fitness of 125.58 with std of 4.92. What changes to the parameters would you suggest to improve performance?Keep the epoch * pop_size constant.</t>
  </si>
  <si>
    <t>I'm solving a TSP of 29 cities with the use of ACO. I used parameter values previously suggested by you: epoch=100.0 , pop_size=50.0 , sample_count=25.0 , intent_factor=0.8 , zeta=2.0 . I did run it 30 times and averaged the results. I got global minimum of 19696.71 with std of 507.58. The solution at last epoch had avg fitness of 19696.71 with std of 583.95. What changes to the parameters would you suggest to improve performance?Keep the epoch * pop_size constant.</t>
  </si>
  <si>
    <t>I'm solving a TSP of 30 cities with the use of ACO. I used parameter values previously suggested by you: epoch=100.0 , pop_size=50.0 , sample_count=30.0 , intent_factor=0.5 , zeta=2.0 . I did run it 30 times and averaged the results. I got global minimum of 31124.75 with std of 706.97. The solution at last epoch had avg fitness of 31124.75 with std of 880.78. What changes to the parameters would you suggest to improve performance?Keep the epoch * pop_size constant.</t>
  </si>
  <si>
    <t>I'm solving a TSP of 48 cities with the use of ACO. I used parameter values previously suggested by you: epoch=500.0 , pop_size=100.0 , sample_count=20.0 , intent_factor=0.7 , zeta=2.0 . I did run it 30 times and averaged the results. I got global minimum of 114013.22 with std of 2542.22. The solution at last epoch had avg fitness of 114013.22 with std of 3234.2. What changes to the parameters would you suggest to improve performance?Keep the epoch * pop_size constant.</t>
  </si>
  <si>
    <t>I'm solving a TSP of 50 cities with the use of ACO. I used parameter values previously suggested by you: epoch=1000.0 , pop_size=50.0 , sample_count=25.0 , intent_factor=0.8 , zeta=2.0 . I did run it 30 times and averaged the results. I got global minimum of 1264.39 with std of 23.89. The solution at last epoch had avg fitness of 1264.39 with std of 27.54. What changes to the parameters would you suggest to improve performance?Keep the epoch * pop_size constant.</t>
  </si>
  <si>
    <t>I'm solving a TSP of 75 cities with the use of ACO. I used parameter values previously suggested by you: epoch=1000.0 , pop_size=50.0 , sample_count=25.0 , intent_factor=0.8 , zeta=2.0 . I did run it 30 times and averaged the results. I got global minimum of 2022.44 with std of 28.07. The solution at last epoch had avg fitness of 2022.44 with std of 36.89. What changes to the parameters would you suggest to improve performance?Keep the epoch * pop_size constant.</t>
  </si>
  <si>
    <t>I'm solving a TSP of 127 cities with the use of ACO. I used parameter values previously suggested by you: epoch=500.0 , pop_size=50.0 , sample_count=20.0 , intent_factor=0.8 , zeta=2.0 . I did run it 30 times and averaged the results. I got global minimum of 1480.58 with std of 14.43. The solution at last epoch had avg fitness of 1480.58 with std of 14.1. What changes to the parameters would you suggest to improve performance?Keep the epoch * pop_size constant.</t>
  </si>
  <si>
    <t>I'm solving a TSP of 14 cities with the use of ACO. I used parameter values previously suggested by you: epoch=100.0 , pop_size=20.0 , sample_count=10.0 , intent_factor=0.8 , zeta=2.0 . I did run it 30 times and averaged the results. I got global minimum of 42.01 with std of 1.35. The solution at last epoch had avg fitness of 42.01 with std of 1.22. What changes to the parameters would you suggest to improve performance?Keep the epoch * pop_size constant.</t>
  </si>
  <si>
    <t>I'm solving a TSP of 16 cities with the use of ACO. I used parameter values previously suggested by you: epoch=100.0 , pop_size=20.0 , sample_count=10.0 , intent_factor=0.8 , zeta=2.0 . I did run it 30 times and averaged the results. I got global minimum of 97.45 with std of 4.17. The solution at last epoch had avg fitness of 97.45 with std of 4.49. What changes to the parameters would you suggest to improve performance?Keep the epoch * pop_size constant.</t>
  </si>
  <si>
    <t>I'm solving a TSP of 20 cities with the use of ACO. I used parameter values previously suggested by you: epoch=100.0 , pop_size=25.0 , sample_count=10.0 , intent_factor=0.8 , zeta=2.0 . I did run it 30 times and averaged the results. I got global minimum of 18776.04 with std of 636.61. The solution at last epoch had avg fitness of 18776.04 with std of 806.45. What changes to the parameters would you suggest to improve performance?Keep the epoch * pop_size constant.</t>
  </si>
  <si>
    <t>I'm solving a TSP of 22 cities with the use of ACO. I used parameter values previously suggested by you: epoch=100.0 , pop_size=30.0 , sample_count=10.0 , intent_factor=0.8 , zeta=2.0 . I did run it 30 times and averaged the results. I got global minimum of 127.57 with std of 3.56. The solution at last epoch had avg fitness of 127.57 with std of 5.93. What changes to the parameters would you suggest to improve performance?Keep the epoch * pop_size constant.</t>
  </si>
  <si>
    <t>I'm solving a TSP of 29 cities with the use of ACO. I used parameter values previously suggested by you: epoch=100.0 , pop_size=30.0 , sample_count=15.0 , intent_factor=0.8 , zeta=2.0 . I did run it 30 times and averaged the results. I got global minimum of 19928.18 with std of 476.95. The solution at last epoch had avg fitness of 19928.18 with std of 573.87. What changes to the parameters would you suggest to improve performance?Keep the epoch * pop_size constant.</t>
  </si>
  <si>
    <t>I'm solving a TSP of 30 cities with the use of ACO. I used parameter values previously suggested by you: epoch=100.0 , pop_size=30.0 , sample_count=15.0 , intent_factor=0.8 , zeta=2.0 . I did run it 30 times and averaged the results. I got global minimum of 32024.39 with std of 561.37. The solution at last epoch had avg fitness of 32024.39 with std of 703.62. What changes to the parameters would you suggest to improve performance?Keep the epoch * pop_size constant.</t>
  </si>
  <si>
    <t>I'm solving a TSP of 48 cities with the use of ACO. I used parameter values previously suggested by you: epoch=100.0 , pop_size=50.0 , sample_count=20.0 , intent_factor=0.7 , zeta=2.0 . I did run it 30 times and averaged the results. I got global minimum of 119959.06 with std of 2264.77. The solution at last epoch had avg fitness of 119959.06 with std of 3550.37. What changes to the parameters would you suggest to improve performance?Keep the epoch * pop_size constant.</t>
  </si>
  <si>
    <t>I'm solving a TSP of 50 cities with the use of ACO. I used parameter values previously suggested by you: epoch=100.0 , pop_size=30.0 , sample_count=10.0 , intent_factor=0.8 , zeta=2.0 . I did run it 30 times and averaged the results. I got global minimum of 1329.93 with std of 25.92. The solution at last epoch had avg fitness of 1329.93 with std of 27.21. What changes to the parameters would you suggest to improve performance?Keep the epoch * pop_size constant.</t>
  </si>
  <si>
    <t>I'm solving a TSP of 75 cities with the use of ACO. I used parameter values previously suggested by you: epoch=150.0 , pop_size=40.0 , sample_count=20.0 , intent_factor=0.8 , zeta=2.0 . I did run it 30 times and averaged the results. I got global minimum of 2084.67 with std of 31.47. The solution at last epoch had avg fitness of 2084.67 with std of 40.57. What changes to the parameters would you suggest to improve performance?Keep the epoch * pop_size constant.</t>
  </si>
  <si>
    <t>I'm solving a TSP of 127 cities with the use of ACO. I used parameter values previously suggested by you: epoch=200.0 , pop_size=50.0 , sample_count=20.0 , intent_factor=0.8 , zeta=2.0 . I did run it 30 times and averaged the results. I got global minimum of 1490.57 with std of 17.06. The solution at last epoch had avg fitness of 1490.57 with std of 23.58. What changes to the parameters would you suggest to improve performance?Keep the epoch * pop_size constant.</t>
  </si>
  <si>
    <t>I'm solving a TSP of 14 cities with the use of ACO. I used parameter values previously suggested by you: epoch=1000.0 , pop_size=50.0 , sample_count=14.0 , intent_factor=0.5 , zeta=2.0 . I did run it 30 times and averaged the results. I got global minimum of 38.05 with std of 1.36. The solution at last epoch had avg fitness of 38.05 with std of 1.52. What changes to the parameters would you suggest to improve performance?Keep the epoch * pop_size constant.</t>
  </si>
  <si>
    <t>I'm solving a TSP of 16 cities with the use of ACO. I used parameter values previously suggested by you: epoch=100.0 , pop_size=50.0 , sample_count=20.0 , intent_factor=0.5 , zeta=2.0 . I did run it 30 times and averaged the results. I got global minimum of 97.03 with std of 2.99. The solution at last epoch had avg fitness of 97.03 with std of 3.68. What changes to the parameters would you suggest to improve performance?Keep the epoch * pop_size constant.</t>
  </si>
  <si>
    <t>I'm solving a TSP of 20 cities with the use of ACO. I used parameter values previously suggested by you: epoch=500.0 , pop_size=50.0 , sample_count=25.0 , intent_factor=0.5 , zeta=1.0 . I did run it 30 times and averaged the results. I got global minimum of 17331.17 with std of 587.8. The solution at last epoch had avg fitness of 17331.17 with std of 623.78. What changes to the parameters would you suggest to improve performance?Keep the epoch * pop_size constant.</t>
  </si>
  <si>
    <t>I'm solving a TSP of 22 cities with the use of ACO. I used parameter values previously suggested by you: epoch=500.0 , pop_size=100.0 , sample_count=22.0 , intent_factor=0.5 , zeta=2.0 . I did run it 30 times and averaged the results. I got global minimum of 118.43 with std of 3.41. The solution at last epoch had avg fitness of 118.43 with std of 4.02. What changes to the parameters would you suggest to improve performance?Keep the epoch * pop_size constant.</t>
  </si>
  <si>
    <t>I'm solving a TSP of 29 cities with the use of ACO. I used parameter values previously suggested by you: epoch=1000.0 , pop_size=50.0 , sample_count=29.0 , intent_factor=0.5 , zeta=2.0 . I did run it 30 times and averaged the results. I got global minimum of 18371.43 with std of 523.38. The solution at last epoch had avg fitness of 18371.43 with std of 518.86. What changes to the parameters would you suggest to improve performance?Keep the epoch * pop_size constant.</t>
  </si>
  <si>
    <t>I'm solving a TSP of 30 cities with the use of ACO. I used parameter values previously suggested by you: epoch=100.0 , pop_size=30.0 , sample_count=10.0 , intent_factor=0.5 , zeta=2.0 . I did run it 30 times and averaged the results. I got global minimum of 32209.61 with std of 617.26. The solution at last epoch had avg fitness of 32209.61 with std of 1055.91. What changes to the parameters would you suggest to improve performance?Keep the epoch * pop_size constant.</t>
  </si>
  <si>
    <t>I'm solving a TSP of 48 cities with the use of ACO. I used parameter values previously suggested by you: epoch=1000.0 , pop_size=100.0 , sample_count=5.0 , intent_factor=0.5 , zeta=2.0 . I did run it 30 times and averaged the results. I got global minimum of 116368.47 with std of 2743.49. The solution at last epoch had avg fitness of 116368.47 with std of 3843.57. What changes to the parameters would you suggest to improve performance?Keep the epoch * pop_size constant.</t>
  </si>
  <si>
    <t>I'm solving a TSP of 50 cities with the use of ACO. I used parameter values previously suggested by you: epoch=500.0 , pop_size=50.0 , sample_count=25.0 , intent_factor=0.5 , zeta=2.0 . I did run it 30 times and averaged the results. I got global minimum of 1269.57 with std of 27.5. The solution at last epoch had avg fitness of 1269.57 with std of 30.2. What changes to the parameters would you suggest to improve performance?Keep the epoch * pop_size constant.</t>
  </si>
  <si>
    <t>I'm solving a TSP of 75 cities with the use of ACO. I used parameter values previously suggested by you: epoch=1000.0 , pop_size=100.0 , sample_count=25.0 , intent_factor=0.5 , zeta=2.0 . I did run it 30 times and averaged the results. I got global minimum of 2036.5 with std of 26.06. The solution at last epoch had avg fitness of 2036.5 with std of 31.24. What changes to the parameters would you suggest to improve performance?Keep the epoch * pop_size constant.</t>
  </si>
  <si>
    <t>I'm solving a TSP of 127 cities with the use of ACO. I used parameter values previously suggested by you: epoch=500.0 , pop_size=50.0 , sample_count=10.0 , intent_factor=0.5 , zeta=1.0 . I did run it 30 times and averaged the results. I got global minimum of 1485.8 with std of 16.68. The solution at last epoch had avg fitness of 1485.8 with std of 24.13. What changes to the parameters would you suggest to improve performance?Keep the epoch * pop_size constant.</t>
  </si>
  <si>
    <t>I'm solving a TSP of 14 cities with the use of GA. I used parameter values previously suggested by you: epoch=1000.0 , pop_size=100.0 , pc=0.8 , pm=0.1 , selection=tournament , crossover=one_point , mutation_multipoints=False , mutation=swap . I did run it 30 times and averaged the results. I got global minimum of 33.01 with std of 1.21. The solution at last epoch had avg fitness of 41.35 with std of 2.82. What changes to the parameters would you suggest to improve performance?Keep the epoch * pop_size constant.</t>
  </si>
  <si>
    <t>I'm solving a TSP of 16 cities with the use of GA. I used parameter values previously suggested by you: epoch=1000.0 , pop_size=50.0 , pc=0.8 , pm=0.1 , selection=tournament , crossover=multi_points , mutation_multipoints=True , mutation=swap . I did run it 30 times and averaged the results. I got global minimum of 79.41 with std of 3.25. The solution at last epoch had avg fitness of 99.24 with std of 5.39. What changes to the parameters would you suggest to improve performance?Keep the epoch * pop_size constant.</t>
  </si>
  <si>
    <t>I'm solving a TSP of 20 cities with the use of GA. I used parameter values previously suggested by you: epoch=1000.0 , pop_size=100.0 , pc=0.8 , pm=0.1 , selection=tournament , crossover=one_point , mutation_multipoints=False , mutation=swap . I did run it 30 times and averaged the results. I got global minimum of 13747.04 with std of 675.56. The solution at last epoch had avg fitness of 17542.73 with std of 1398.66. What changes to the parameters would you suggest to improve performance?Keep the epoch * pop_size constant.</t>
  </si>
  <si>
    <t>I'm solving a TSP of 22 cities with the use of GA. I used parameter values previously suggested by you: epoch=1000.0 , pop_size=100.0 , pc=0.8 , pm=0.1 , selection=tournament , crossover=one_point , mutation_multipoints=False , mutation=swap . I did run it 30 times and averaged the results. I got global minimum of 95.88 with std of 4.48. The solution at last epoch had avg fitness of 120.9 with std of 7.25. What changes to the parameters would you suggest to improve performance?Keep the epoch * pop_size constant.</t>
  </si>
  <si>
    <t>I'm solving a TSP of 29 cities with the use of GA. I used parameter values previously suggested by you: epoch=1000.0 , pop_size=50.0 , pc=0.8 , pm=0.1 , selection=tournament , crossover=multi_points , mutation_multipoints=True , mutation=swap . I did run it 30 times and averaged the results. I got global minimum of 16413.24 with std of 671.85. The solution at last epoch had avg fitness of 20210.86 with std of 1146.06. What changes to the parameters would you suggest to improve performance?Keep the epoch * pop_size constant.</t>
  </si>
  <si>
    <t>I'm solving a TSP of 30 cities with the use of GA. I used parameter values previously suggested by you: epoch=500.0 , pop_size=100.0 , pc=0.8 , pm=0.1 , selection=tournament , crossover=one_point , mutation_multipoints=False , mutation=swap . I did run it 30 times and averaged the results. I got global minimum of 22818.64 with std of 1490.34. The solution at last epoch had avg fitness of 27024.69 with std of 1983.26. What changes to the parameters would you suggest to improve performance?Keep the epoch * pop_size constant.</t>
  </si>
  <si>
    <t>I'm solving a TSP of 48 cities with the use of GA. I used parameter values previously suggested by you: epoch=100.0 , pop_size=100.0 , pc=0.8 , pm=0.1 , selection=tournament , crossover=one_point , mutation_multipoints=True , mutation=swap . I did run it 30 times and averaged the results. I got global minimum of 94822.98 with std of 7352.46. The solution at last epoch had avg fitness of 105172.88 with std of 6806.1. What changes to the parameters would you suggest to improve performance?Keep the epoch * pop_size constant.</t>
  </si>
  <si>
    <t>I'm solving a TSP of 50 cities with the use of GA. I used parameter values previously suggested by you: epoch=1000.0 , pop_size=100.0 , pc=0.8 , pm=0.2 , selection=tournament , crossover=one_point , mutation_multipoints=True , mutation=swap . I did run it 30 times and averaged the results. I got global minimum of 1005.49 with std of 47.27. The solution at last epoch had avg fitness of 1176.54 with std of 53.84. What changes to the parameters would you suggest to improve performance?Keep the epoch * pop_size constant.</t>
  </si>
  <si>
    <t>I'm solving a TSP of 75 cities with the use of GA. I used parameter values previously suggested by you: epoch=1000.0 , pop_size=100.0 , pc=0.8 , pm=0.2 , selection=tournament , crossover=multi_points , mutation_multipoints=True , mutation=swap . I did run it 30 times and averaged the results. I got global minimum of 1575.05 with std of 86.81. The solution at last epoch had avg fitness of 1791.47 with std of 75.55. What changes to the parameters would you suggest to improve performance?Keep the epoch * pop_size constant.</t>
  </si>
  <si>
    <t>I'm solving a TSP of 127 cities with the use of GA. I used parameter values previously suggested by you: epoch=1000.0 , pop_size=50.0 , pc=0.8 , pm=0.1 , selection=tournament , crossover=multi_points , mutation_multipoints=True , mutation=swap . I did run it 30 times and averaged the results. I got global minimum of 1260.9 with std of 42.28. The solution at last epoch had avg fitness of 1458.82 with std of 65.76. What changes to the parameters would you suggest to improve performance?Keep the epoch * pop_size constant.</t>
  </si>
  <si>
    <t>I'm solving a TSP of 14 cities with the use of GA. I used parameter values previously suggested by you: epoch=500.0 , pop_size=100.0 , pc=0.85 , pm=0.1 , selection=tournament , crossover=uniform , mutation_multipoints=True , mutation=swap . I did run it 30 times and averaged the results. I got global minimum of 32.58 with std of 1.39. The solution at last epoch had avg fitness of 39.15 with std of 2.19. What changes to the parameters would you suggest to improve performance?Keep the epoch * pop_size constant.</t>
  </si>
  <si>
    <t>I'm solving a TSP of 16 cities with the use of GA. I used parameter values previously suggested by you: epoch=500.0 , pop_size=100.0 , pc=0.8 , pm=0.1 , selection=tournament , crossover=uniform , mutation_multipoints=True , mutation=swap . I did run it 30 times and averaged the results. I got global minimum of 78.06 with std of 3.35. The solution at last epoch had avg fitness of 94.31 with std of 4.81. What changes to the parameters would you suggest to improve performance?Keep the epoch * pop_size constant.</t>
  </si>
  <si>
    <t>I'm solving a TSP of 20 cities with the use of GA. I used parameter values previously suggested by you: epoch=200.0 , pop_size=100.0 , pc=0.8 , pm=0.1 , selection=tournament , crossover=uniform , mutation_multipoints=True , mutation=swap . I did run it 30 times and averaged the results. I got global minimum of 13910.45 with std of 1077.17. The solution at last epoch had avg fitness of 16664.77 with std of 1213.12. What changes to the parameters would you suggest to improve performance?Keep the epoch * pop_size constant.</t>
  </si>
  <si>
    <t>I'm solving a TSP of 22 cities with the use of GA. I used parameter values previously suggested by you: epoch=1000.0 , pop_size=100.0 , pc=0.9 , pm=0.05 , selection=tournament , crossover=uniform , mutation_multipoints=True , mutation=swap . I did run it 30 times and averaged the results. I got global minimum of 89.68 with std of 6.33. The solution at last epoch had avg fitness of 109.82 with std of 6.53. What changes to the parameters would you suggest to improve performance?Keep the epoch * pop_size constant.</t>
  </si>
  <si>
    <t>I'm solving a TSP of 29 cities with the use of GA. I used parameter values previously suggested by you: epoch=1000.0 , pop_size=150.0 , pc=0.9 , pm=0.05 , selection=tournament , crossover=uniform , mutation_multipoints=True , mutation=swap . I did run it 30 times and averaged the results. I got global minimum of 15512.82 with std of 729.37. The solution at last epoch had avg fitness of 19358.51 with std of 1327.89. What changes to the parameters would you suggest to improve performance?Keep the epoch * pop_size constant.</t>
  </si>
  <si>
    <t>I'm solving a TSP of 30 cities with the use of GA. I used parameter values previously suggested by you: epoch=500.0 , pop_size=100.0 , pc=0.85 , pm=0.1 , selection=tournament , crossover=uniform , mutation_multipoints=True , mutation=swap . I did run it 30 times and averaged the results. I got global minimum of 20931.93 with std of 1779.97. The solution at last epoch had avg fitness of 25030.91 with std of 1462.03. What changes to the parameters would you suggest to improve performance?Keep the epoch * pop_size constant.</t>
  </si>
  <si>
    <t>I'm solving a TSP of 48 cities with the use of GA. I used parameter values previously suggested by you: epoch=500.0 , pop_size=200.0 , pc=0.8 , pm=0.1 , selection=tournament , crossover=uniform , mutation_multipoints=True , mutation=swap . I did run it 30 times and averaged the results. I got global minimum of 85006.96 with std of 6262.51. The solution at last epoch had avg fitness of 102249.88 with std of 6419.92. What changes to the parameters would you suggest to improve performance?Keep the epoch * pop_size constant.</t>
  </si>
  <si>
    <t>I'm solving a TSP of 50 cities with the use of GA. I used parameter values previously suggested by you: epoch=500.0 , pop_size=200.0 , pc=0.9 , pm=0.1 , selection=tournament , crossover=multi_points , mutation_multipoints=True , mutation=swap . I did run it 30 times and averaged the results. I got global minimum of 904.64 with std of 72.48. The solution at last epoch had avg fitness of 1018.51 with std of 52.86. What changes to the parameters would you suggest to improve performance?Keep the epoch * pop_size constant.</t>
  </si>
  <si>
    <t>I'm solving a TSP of 75 cities with the use of GA. I used parameter values previously suggested by you: epoch=1000.0 , pop_size=200.0 , pc=0.85 , pm=0.05 , selection=tournament , crossover=uniform , mutation_multipoints=True , mutation=swap . I did run it 30 times and averaged the results. I got global minimum of 1625.67 with std of 73.58. The solution at last epoch had avg fitness of 1840.18 with std of 89.64. What changes to the parameters would you suggest to improve performance?Keep the epoch * pop_size constant.</t>
  </si>
  <si>
    <t>I'm solving a TSP of 127 cities with the use of GA. I used parameter values previously suggested by you: epoch=1000.0 , pop_size=200.0 , pc=0.9 , pm=0.05 , selection=tournament , crossover=uniform , mutation_multipoints=True , mutation=swap . I did run it 30 times and averaged the results. I got global minimum of 1138.33 with std of 41.44. The solution at last epoch had avg fitness of 1278.14 with std of 41.84. What changes to the parameters would you suggest to improve performance?Keep the epoch * pop_size constant.</t>
  </si>
  <si>
    <t>I'm solving a TSP of 14 cities with the use of GA. I used parameter values previously suggested by you: epoch=100.0 , pop_size=50.0 , pc=0.9 , pm=0.1 , selection=tournament , crossover=multi_points , mutation_multipoints=True , mutation=swap . I did run it 30 times and averaged the results. I got global minimum of 34.27 with std of 2.58. The solution at last epoch had avg fitness of 40.17 with std of 2.24. What changes to the parameters would you suggest to improve performance?Keep the epoch * pop_size constant.</t>
  </si>
  <si>
    <t>I'm solving a TSP of 16 cities with the use of GA. I used parameter values previously suggested by you: epoch=200.0 , pop_size=50.0 , pc=0.9 , pm=0.1 , selection=tournament , crossover=multi_points , mutation_multipoints=True , mutation=swap . I did run it 30 times and averaged the results. I got global minimum of 82.97 with std of 4.62. The solution at last epoch had avg fitness of 99.14 with std of 6.49. What changes to the parameters would you suggest to improve performance?Keep the epoch * pop_size constant.</t>
  </si>
  <si>
    <t>I'm solving a TSP of 20 cities with the use of GA. I used parameter values previously suggested by you: epoch=100.0 , pop_size=50.0 , pc=0.9 , pm=0.1 , selection=tournament , crossover=multi_points , mutation_multipoints=True , mutation=swap . I did run it 30 times and averaged the results. I got global minimum of 14722.6 with std of 1362.35. The solution at last epoch had avg fitness of 17092.59 with std of 1195.05. What changes to the parameters would you suggest to improve performance?Keep the epoch * pop_size constant.</t>
  </si>
  <si>
    <t>I'm solving a TSP of 22 cities with the use of GA. I used parameter values previously suggested by you: epoch=200.0 , pop_size=50.0 , pc=0.9 , pm=0.1 , selection=tournament , crossover=multi_points , mutation_multipoints=True , mutation=swap . I did run it 30 times and averaged the results. I got global minimum of 103.6 with std of 7.29. The solution at last epoch had avg fitness of 127.36 with std of 10.48. What changes to the parameters would you suggest to improve performance?Keep the epoch * pop_size constant.</t>
  </si>
  <si>
    <t>I'm solving a TSP of 29 cities with the use of GA. I used parameter values previously suggested by you: epoch=200.0 , pop_size=50.0 , pc=0.9 , pm=0.1 , selection=tournament , crossover=multi_points , mutation_multipoints=True , mutation=swap . I did run it 30 times and averaged the results. I got global minimum of 17411.2 with std of 853.26. The solution at last epoch had avg fitness of 20934.69 with std of 1090.57. What changes to the parameters would you suggest to improve performance?Keep the epoch * pop_size constant.</t>
  </si>
  <si>
    <t>I'm solving a TSP of 30 cities with the use of GA. I used parameter values previously suggested by you: epoch=1000.0 , pop_size=50.0 , pc=0.9 , pm=0.1 , selection=tournament , crossover=multi_points , mutation_multipoints=True , mutation=swap . I did run it 30 times and averaged the results. I got global minimum of 21680.89 with std of 1714.3. The solution at last epoch had avg fitness of 31734.72 with std of 1599.98. What changes to the parameters would you suggest to improve performance?Keep the epoch * pop_size constant.</t>
  </si>
  <si>
    <t>I'm solving a TSP of 48 cities with the use of GA. I used parameter values previously suggested by you: epoch=200.0 , pop_size=50.0 , pc=0.9 , pm=0.1 , selection=tournament , crossover=multi_points , mutation_multipoints=True , mutation=swap . I did run it 30 times and averaged the results. I got global minimum of 106189.74 with std of 4891.56. The solution at last epoch had avg fitness of 126499.75 with std of 4474.81. What changes to the parameters would you suggest to improve performance?Keep the epoch * pop_size constant.</t>
  </si>
  <si>
    <t>I'm solving a TSP of 50 cities with the use of GA. I used parameter values previously suggested by you: epoch=200.0 , pop_size=70.0 , pc=0.9 , pm=0.1 , selection=tournament , crossover=multi_points , mutation_multipoints=True , mutation=swap . I did run it 30 times and averaged the results. I got global minimum of 1084.38 with std of 65.72. The solution at last epoch had avg fitness of 1242.36 with std of 53.02. What changes to the parameters would you suggest to improve performance?Keep the epoch * pop_size constant.</t>
  </si>
  <si>
    <t>I'm solving a TSP of 75 cities with the use of GA. I used parameter values previously suggested by you: epoch=500.0 , pop_size=100.0 , pc=0.9 , pm=0.05 , selection=tournament , crossover=multi_points , mutation_multipoints=True , mutation=swap . I did run it 30 times and averaged the results. I got global minimum of 1605.82 with std of 103.44. The solution at last epoch had avg fitness of 1791.42 with std of 78.7. What changes to the parameters would you suggest to improve performance?Keep the epoch * pop_size constant.</t>
  </si>
  <si>
    <t>I'm solving a TSP of 127 cities with the use of GA. I used parameter values previously suggested by you: epoch=500.0 , pop_size=50.0 , pc=0.9 , pm=0.1 , selection=tournament , crossover=multi_points , mutation_multipoints=True , mutation=swap . I did run it 30 times and averaged the results. I got global minimum of 1285.68 with std of 51.5. The solution at last epoch had avg fitness of 1462.67 with std of 71.45. What changes to the parameters would you suggest to improve performance?Keep the epoch * pop_size constant.</t>
  </si>
  <si>
    <t>I'm solving a TSP of 14 cities with the use of GA. I used parameter values previously suggested by you: epoch=1000.0 , pop_size=50.0 , pc=0.9 , pm=0.1 , selection=tournament , crossover=multi_points , mutation_multipoints=True , mutation=swap . I did run it 30 times and averaged the results. I got global minimum of 32.61 with std of 1.33. The solution at last epoch had avg fitness of 40.43 with std of 2.79. What changes to the parameters would you suggest to improve performance?Keep the epoch * pop_size constant.</t>
  </si>
  <si>
    <t>I'm solving a TSP of 16 cities with the use of GA. I used parameter values previously suggested by you: epoch=1000.0 , pop_size=50.0 , pc=0.9 , pm=0.1 , selection=tournament , crossover=multi_points , mutation_multipoints=True , mutation=swap . I did run it 30 times and averaged the results. I got global minimum of 80.31 with std of 3.13. The solution at last epoch had avg fitness of 100.41 with std of 6.77. What changes to the parameters would you suggest to improve performance?Keep the epoch * pop_size constant.</t>
  </si>
  <si>
    <t>I'm solving a TSP of 20 cities with the use of GA. I used parameter values previously suggested by you: epoch=500.0 , pop_size=100.0 , pc=0.8 , pm=0.2 , selection=tournament , crossover=uniform , mutation_multipoints=False , mutation=swap . I did run it 30 times and averaged the results. I got global minimum of 13942.81 with std of 865.54. The solution at last epoch had avg fitness of 17137.56 with std of 1018.05. What changes to the parameters would you suggest to improve performance?Keep the epoch * pop_size constant.</t>
  </si>
  <si>
    <t>I'm solving a TSP of 22 cities with the use of GA. I used parameter values previously suggested by you: epoch=1000.0 , pop_size=50.0 , pc=0.8 , pm=0.1 , selection=tournament , crossover=one_point , mutation_multipoints=False , mutation=swap . I did run it 30 times and averaged the results. I got global minimum of 101.1 with std of 5.06. The solution at last epoch had avg fitness of 128.41 with std of 10.55. What changes to the parameters would you suggest to improve performance?Keep the epoch * pop_size constant.</t>
  </si>
  <si>
    <t>I'm solving a TSP of 29 cities with the use of GA. I used parameter values previously suggested by you: epoch=1000.0 , pop_size=100.0 , pc=0.8 , pm=0.2 , selection=tournament , crossover=multi_points , mutation_multipoints=True , mutation=swap . I did run it 30 times and averaged the results. I got global minimum of 14455.77 with std of 848.62. The solution at last epoch had avg fitness of 17913.84 with std of 895.64. What changes to the parameters would you suggest to improve performance?Keep the epoch * pop_size constant.</t>
  </si>
  <si>
    <t>I'm solving a TSP of 30 cities with the use of GA. I used parameter values previously suggested by you: epoch=1000.0 , pop_size=100.0 , pc=0.9 , pm=0.1 , selection=tournament , crossover=uniform , mutation_multipoints=False , mutation=swap . I did run it 30 times and averaged the results. I got global minimum of 20634.8 with std of 1635.88. The solution at last epoch had avg fitness of 25544.96 with std of 2339.26. What changes to the parameters would you suggest to improve performance?Keep the epoch * pop_size constant.</t>
  </si>
  <si>
    <t>I'm solving a TSP of 48 cities with the use of GA. I used parameter values previously suggested by you: epoch=1000.0 , pop_size=100.0 , pc=0.8 , pm=0.1 , selection=tournament , crossover=multi_points , mutation_multipoints=True , mutation=swap . I did run it 30 times and averaged the results. I got global minimum of 82478.71 with std of 6002.1. The solution at last epoch had avg fitness of 99725.57 with std of 8552.47. What changes to the parameters would you suggest to improve performance?Keep the epoch * pop_size constant.</t>
  </si>
  <si>
    <t>I'm solving a TSP of 50 cities with the use of GA. I used parameter values previously suggested by you: epoch=1000.0 , pop_size=100.0 , pc=0.9 , pm=0.1 , selection=tournament , crossover=multi_points , mutation_multipoints=False , mutation=swap . I did run it 30 times and averaged the results. I got global minimum of 1071.18 with std of 40.07. The solution at last epoch had avg fitness of 1259.84 with std of 53.66. What changes to the parameters would you suggest to improve performance?Keep the epoch * pop_size constant.</t>
  </si>
  <si>
    <t>I'm solving a TSP of 75 cities with the use of GA. I used parameter values previously suggested by you: epoch=1000.0 , pop_size=150.0 , pc=0.8 , pm=0.02 , selection=tournament , crossover=uniform , mutation_multipoints=False , mutation=swap . I did run it 30 times and averaged the results. I got global minimum of 1765.88 with std of 47.56. The solution at last epoch had avg fitness of 1983.37 with std of 61.39. What changes to the parameters would you suggest to improve performance?Keep the epoch * pop_size constant.</t>
  </si>
  <si>
    <t>I'm solving a TSP of 127 cities with the use of GA. I used parameter values previously suggested by you: epoch=1000.0 , pop_size=200.0 , pc=0.9 , pm=0.05 , selection=tournament , crossover=uniform , mutation_multipoints=True , mutation=swap . I did run it 30 times and averaged the results. I got global minimum of 1145.77 with std of 39.45. The solution at last epoch had avg fitness of 1276.71 with std of 44.66. What changes to the parameters would you suggest to improve performance?Keep the epoch * pop_size constant.</t>
  </si>
  <si>
    <t>inversion</t>
  </si>
  <si>
    <t>I'm solving a JSSP of 10_10 (jobs and machines) with the use of ACO. I used parameter values previously suggested by you: epoch=100.0 , pop_size=50.0 , sample_count=30.0 , intent_factor=0.5 , zeta=2.0 . I did run it 30 times and averaged the results. I got global minimum of 301.13 with std of 7.54. The solution at last epoch had avg fitness of 301.13 with std of 9.32. What changes to the parameters would you suggest to improve performance?Keep the epoch * pop_size constant.</t>
  </si>
  <si>
    <t>I'm solving a JSSP of 10_10 (jobs and machines) with the use of ACO. I used parameter values previously suggested by you: epoch=500.0 , pop_size=50.0 , sample_count=25.0 , intent_factor=0.5 , zeta=2.0 . I did run it 30 times and averaged the results. I got global minimum of 239.7 with std of 5.55. The solution at last epoch had avg fitness of 239.7 with std of 4.61. What changes to the parameters would you suggest to improve performance?Keep the epoch * pop_size constant.</t>
  </si>
  <si>
    <t>I'm solving a JSSP of 6_6 (jobs and machines) with the use of ACO. I used parameter values previously suggested by you: epoch=100.0 , pop_size=50.0 , sample_count=25.0 , intent_factor=0.5 , zeta=2.0 . I did run it 30 times and averaged the results. I got global minimum of 17.13 with std of 0.62. The solution at last epoch had avg fitness of 17.13 with std of 0.78. What changes to the parameters would you suggest to improve performance?Keep the epoch * pop_size constant.</t>
  </si>
  <si>
    <t>I'm solving a JSSP of 10_10 (jobs and machines) with the use of ACO. I used parameter values previously suggested by you: epoch=1000.0 , pop_size=50.0 , sample_count=25.0 , intent_factor=0.5 , zeta=2.0 . I did run it 30 times and averaged the results. I got global minimum of 206.5 with std of 6.19. The solution at last epoch had avg fitness of 206.5 with std of 6.59. What changes to the parameters would you suggest to improve performance?Keep the epoch * pop_size constant.</t>
  </si>
  <si>
    <t>I'm solving a JSSP of 10_5 (jobs and machines) with the use of ACO. I used parameter values previously suggested by you: epoch=100.0 , pop_size=50.0 , sample_count=20.0 , intent_factor=0.5 , zeta=2.0 . I did run it 30 times and averaged the results. I got global minimum of 192.1 with std of 5.85. The solution at last epoch had avg fitness of 192.1 with std of 5.8. What changes to the parameters would you suggest to improve performance?Keep the epoch * pop_size constant.</t>
  </si>
  <si>
    <t>I'm solving a JSSP of 10_5 (jobs and machines) with the use of ACO. I used parameter values previously suggested by you: epoch=100.0 , pop_size=50.0 , sample_count=25.0 , intent_factor=0.5 , zeta=2.0 . I did run it 30 times and averaged the results. I got global minimum of 184.87 with std of 5.87. The solution at last epoch had avg fitness of 184.87 with std of 5.03. What changes to the parameters would you suggest to improve performance?Keep the epoch * pop_size constant.</t>
  </si>
  <si>
    <t>I'm solving a JSSP of 15_5 (jobs and machines) with the use of ACO. I used parameter values previously suggested by you: epoch=100.0 , pop_size=50.0 , sample_count=25.0 , intent_factor=0.5 , zeta=2.0 . I did run it 30 times and averaged the results. I got global minimum of 214.7 with std of 6.93. The solution at last epoch had avg fitness of 214.7 with std of 8.9. What changes to the parameters would you suggest to improve performance?Keep the epoch * pop_size constant.</t>
  </si>
  <si>
    <t>I'm solving a JSSP of 20_5 (jobs and machines) with the use of ACO. I used parameter values previously suggested by you: epoch=500.0 , pop_size=50.0 , sample_count=25.0 , intent_factor=0.5 , zeta=2.0 . I did run it 30 times and averaged the results. I got global minimum of 210.87 with std of 4.88. The solution at last epoch had avg fitness of 210.87 with std of 5.42. What changes to the parameters would you suggest to improve performance?Keep the epoch * pop_size constant.</t>
  </si>
  <si>
    <t>I'm solving a JSSP of 10_10 (jobs and machines) with the use of ACO. I used parameter values previously suggested by you: epoch=100.0 , pop_size=50.0 , sample_count=25.0 , intent_factor=0.5 , zeta=2.0 . I did run it 30 times and averaged the results. I got global minimum of 232.47 with std of 8.48. The solution at last epoch had avg fitness of 232.47 with std of 7.84. What changes to the parameters would you suggest to improve performance?Keep the epoch * pop_size constant.</t>
  </si>
  <si>
    <t>I'm solving a JSSP of 10_10 (jobs and machines) with the use of ACO. I used parameter values previously suggested by you: epoch=100.0 , pop_size=50.0 , sample_count=25.0 , intent_factor=0.5 , zeta=2.0 . I did run it 30 times and averaged the results. I got global minimum of 230.5 with std of 4.69. The solution at last epoch had avg fitness of 230.5 with std of 6.29. What changes to the parameters would you suggest to improve performance?Keep the epoch * pop_size constant.</t>
  </si>
  <si>
    <t>I'm solving a JSSP of 10_10 (jobs and machines) with the use of ACO. I used parameter values previously suggested by you: epoch=100.0 , pop_size=50.0 , sample_count=20.0 , intent_factor=0.5 , zeta=2.0 . I did run it 30 times and averaged the results. I got global minimum of 303.4 with std of 9.52. The solution at last epoch had avg fitness of 303.4 with std of 8.68. What changes to the parameters would you suggest to improve performance?Keep the epoch * pop_size constant.</t>
  </si>
  <si>
    <t>I'm solving a JSSP of 10_10 (jobs and machines) with the use of ACO. I used parameter values previously suggested by you: epoch=100.0 , pop_size=50.0 , sample_count=20.0 , intent_factor=0.5 , zeta=2.0 . I did run it 30 times and averaged the results. I got global minimum of 249.93 with std of 5.49. The solution at last epoch had avg fitness of 249.93 with std of 5.36. What changes to the parameters would you suggest to improve performance?Keep the epoch * pop_size constant.</t>
  </si>
  <si>
    <t>I'm solving a JSSP of 6_6 (jobs and machines) with the use of ACO. I used parameter values previously suggested by you: epoch=100.0 , pop_size=50.0 , sample_count=10.0 , intent_factor=0.8 , zeta=2.0 . I did run it 30 times and averaged the results. I got global minimum of 17.67 with std of 0.49. The solution at last epoch had avg fitness of 17.67 with std of 0.55. What changes to the parameters would you suggest to improve performance?Keep the epoch * pop_size constant.</t>
  </si>
  <si>
    <t>I'm solving a JSSP of 10_10 (jobs and machines) with the use of ACO. I used parameter values previously suggested by you: epoch=100.0 , pop_size=50.0 , sample_count=30.0 , intent_factor=0.7 , zeta=2.0 . I did run it 30 times and averaged the results. I got global minimum of 218.17 with std of 6.39. The solution at last epoch had avg fitness of 218.17 with std of 8.81. What changes to the parameters would you suggest to improve performance?Keep the epoch * pop_size constant.</t>
  </si>
  <si>
    <t>I'm solving a JSSP of 10_5 (jobs and machines) with the use of ACO. I used parameter values previously suggested by you: epoch=100.0 , pop_size=50.0 , sample_count=5.0 , intent_factor=0.8 , zeta=2.0 . I did run it 30 times and averaged the results. I got global minimum of 199.97 with std of 6.02. The solution at last epoch had avg fitness of 199.97 with std of 8.71. What changes to the parameters would you suggest to improve performance?Keep the epoch * pop_size constant.</t>
  </si>
  <si>
    <t>I'm solving a JSSP of 10_5 (jobs and machines) with the use of ACO. I used parameter values previously suggested by you: epoch=1000.0 , pop_size=50.0 , sample_count=30.0 , intent_factor=0.9 , zeta=2.0 . I did run it 30 times and averaged the results. I got global minimum of 176.93 with std of 4.34. The solution at last epoch had avg fitness of 176.93 with std of 3.51. What changes to the parameters would you suggest to improve performance?Keep the epoch * pop_size constant.</t>
  </si>
  <si>
    <t>I'm solving a JSSP of 15_5 (jobs and machines) with the use of ACO. I used parameter values previously suggested by you: epoch=1000.0 , pop_size=50.0 , sample_count=30.0 , intent_factor=0.8 , zeta=2.0 . I did run it 30 times and averaged the results. I got global minimum of 197.97 with std of 7.16. The solution at last epoch had avg fitness of 197.97 with std of 7.45. What changes to the parameters would you suggest to improve performance?Keep the epoch * pop_size constant.</t>
  </si>
  <si>
    <t>I'm solving a JSSP of 20_5 (jobs and machines) with the use of ACO. I used parameter values previously suggested by you: epoch=100.0 , pop_size=50.0 , sample_count=10.0 , intent_factor=0.8 , zeta=2.0 . I did run it 30 times and averaged the results. I got global minimum of 224.43 with std of 4.92. The solution at last epoch had avg fitness of 224.43 with std of 6.46. What changes to the parameters would you suggest to improve performance?Keep the epoch * pop_size constant.</t>
  </si>
  <si>
    <t>I'm solving a JSSP of 10_10 (jobs and machines) with the use of ACO. I used parameter values previously suggested by you: epoch=1000.0 , pop_size=50.0 , sample_count=30.0 , intent_factor=0.9 , zeta=2.0 . I did run it 30 times and averaged the results. I got global minimum of 219.9 with std of 6.18. The solution at last epoch had avg fitness of 219.9 with std of 5.19. What changes to the parameters would you suggest to improve performance?Keep the epoch * pop_size constant.</t>
  </si>
  <si>
    <t>I'm solving a JSSP of 10_10 (jobs and machines) with the use of ACO. I used parameter values previously suggested by you: epoch=100.0 , pop_size=50.0 , sample_count=30.0 , intent_factor=0.8 , zeta=2.0 . I did run it 30 times and averaged the results. I got global minimum of 227.07 with std of 5.9. The solution at last epoch had avg fitness of 227.07 with std of 7.31. What changes to the parameters would you suggest to improve performance?Keep the epoch * pop_size constant.</t>
  </si>
  <si>
    <t>I'm solving a JSSP of 10_10 (jobs and machines) with the use of ACO. I used parameter values previously suggested by you: epoch=100.0 , pop_size=50.0 , sample_count=10.0 , intent_factor=0.7 , zeta=2.0 . I did run it 30 times and averaged the results. I got global minimum of 308.73 with std of 8.58. The solution at last epoch had avg fitness of 308.73 with std of 11.52. What changes to the parameters would you suggest to improve performance?Keep the epoch * pop_size constant.</t>
  </si>
  <si>
    <t>I'm solving a JSSP of 10_10 (jobs and machines) with the use of ACO. I used parameter values previously suggested by you: epoch=100.0 , pop_size=50.0 , sample_count=20.0 , intent_factor=0.7 , zeta=2.0 . I did run it 30 times and averaged the results. I got global minimum of 249.87 with std of 6.87. The solution at last epoch had avg fitness of 249.87 with std of 7.41. What changes to the parameters would you suggest to improve performance?Keep the epoch * pop_size constant.</t>
  </si>
  <si>
    <t>I'm solving a JSSP of 6_6 (jobs and machines) with the use of ACO. I used parameter values previously suggested by you: epoch=100.0 , pop_size=20.0 , sample_count=5.0 , intent_factor=0.7 , zeta=2.0 . I did run it 30 times and averaged the results. I got global minimum of 18.37 with std of 0.51. The solution at last epoch had avg fitness of 18.37 with std of 0.56. What changes to the parameters would you suggest to improve performance?Keep the epoch * pop_size constant.</t>
  </si>
  <si>
    <t>I'm solving a JSSP of 10_10 (jobs and machines) with the use of ACO. I used parameter values previously suggested by you: epoch=100.0 , pop_size=50.0 , sample_count=20.0 , intent_factor=0.8 , zeta=2.0 . I did run it 30 times and averaged the results. I got global minimum of 222.6 with std of 6.18. The solution at last epoch had avg fitness of 222.6 with std of 8.02. What changes to the parameters would you suggest to improve performance?Keep the epoch * pop_size constant.</t>
  </si>
  <si>
    <t>I'm solving a JSSP of 10_5 (jobs and machines) with the use of ACO. I used parameter values previously suggested by you: epoch=100.0 , pop_size=50.0 , sample_count=20.0 , intent_factor=0.6 , zeta=2.0 . I did run it 30 times and averaged the results. I got global minimum of 191.73 with std of 6.25. The solution at last epoch had avg fitness of 191.73 with std of 5.62. What changes to the parameters would you suggest to improve performance?Keep the epoch * pop_size constant.</t>
  </si>
  <si>
    <t>I'm solving a JSSP of 10_5 (jobs and machines) with the use of ACO. I used parameter values previously suggested by you: epoch=100.0 , pop_size=50.0 , sample_count=10.0 , intent_factor=0.7 , zeta=2.0 . I did run it 30 times and averaged the results. I got global minimum of 189.8 with std of 5.83. The solution at last epoch had avg fitness of 189.8 with std of 6.55. What changes to the parameters would you suggest to improve performance?Keep the epoch * pop_size constant.</t>
  </si>
  <si>
    <t>I'm solving a JSSP of 15_5 (jobs and machines) with the use of ACO. I used parameter values previously suggested by you: epoch=100.0 , pop_size=20.0 , sample_count=10.0 , intent_factor=0.8 , zeta=2.0 . I did run it 30 times and averaged the results. I got global minimum of 220.83 with std of 7.9. The solution at last epoch had avg fitness of 220.83 with std of 6.91. What changes to the parameters would you suggest to improve performance?Keep the epoch * pop_size constant.</t>
  </si>
  <si>
    <t>I'm solving a JSSP of 20_5 (jobs and machines) with the use of ACO. I used parameter values previously suggested by you: epoch=100.0 , pop_size=50.0 , sample_count=20.0 , intent_factor=0.8 , zeta=2.0 . I did run it 30 times and averaged the results. I got global minimum of 221.4 with std of 6.24. The solution at last epoch had avg fitness of 221.4 with std of 4.9. What changes to the parameters would you suggest to improve performance?Keep the epoch * pop_size constant.</t>
  </si>
  <si>
    <t>I'm solving a JSSP of 10_10 (jobs and machines) with the use of ACO. I used parameter values previously suggested by you: epoch=100.0 , pop_size=50.0 , sample_count=25.0 , intent_factor=0.7 , zeta=2.0 . I did run it 30 times and averaged the results. I got global minimum of 235.07 with std of 5.85. The solution at last epoch had avg fitness of 235.07 with std of 5.56. What changes to the parameters would you suggest to improve performance?Keep the epoch * pop_size constant.</t>
  </si>
  <si>
    <t>I'm solving a JSSP of 10_10 (jobs and machines) with the use of ACO. I used parameter values previously suggested by you: epoch=100.0 , pop_size=50.0 , sample_count=20.0 , intent_factor=0.8 , zeta=2.0 . I did run it 30 times and averaged the results. I got global minimum of 229.8 with std of 5.44. The solution at last epoch had avg fitness of 229.8 with std of 7.48. What changes to the parameters would you suggest to improve performance?Keep the epoch * pop_size constant.</t>
  </si>
  <si>
    <t>I'm solving a JSSP of 10_10 (jobs and machines) with the use of ACO. I used parameter values previously suggested by you: epoch=1000.0 , pop_size=50.0 , sample_count=20.0 , intent_factor=0.5 , zeta=2.0 . I did run it 30 times and averaged the results. I got global minimum of 284.93 with std of 8.95. The solution at last epoch had avg fitness of 284.93 with std of 8.39. What changes to the parameters would you suggest to improve performance?Keep the epoch * pop_size constant.</t>
  </si>
  <si>
    <t>I'm solving a JSSP of 10_10 (jobs and machines) with the use of ACO. I used parameter values previously suggested by you: epoch=1000.0 , pop_size=100.0 , sample_count=10.0 , intent_factor=0.5 , zeta=1.0 . I did run it 30 times and averaged the results. I got global minimum of 240.07 with std of 6.18. The solution at last epoch had avg fitness of 240.07 with std of 7.5. What changes to the parameters would you suggest to improve performance?Keep the epoch * pop_size constant.</t>
  </si>
  <si>
    <t>I'm solving a JSSP of 6_6 (jobs and machines) with the use of ACO. I used parameter values previously suggested by you: epoch=100.0 , pop_size=30.0 , sample_count=10.0 , intent_factor=0.7 , zeta=2.0 . I did run it 30 times and averaged the results. I got global minimum of 17.5 with std of 0.62. The solution at last epoch had avg fitness of 17.5 with std of 0.63. What changes to the parameters would you suggest to improve performance?Keep the epoch * pop_size constant.</t>
  </si>
  <si>
    <t>I'm solving a JSSP of 10_10 (jobs and machines) with the use of ACO. I used parameter values previously suggested by you: epoch=1000.0 , pop_size=100.0 , sample_count=50.0 , intent_factor=0.5 , zeta=1.0 . I did run it 30 times and averaged the results. I got global minimum of 204.07 with std of 6.5. The solution at last epoch had avg fitness of 204.07 with std of 5.88. What changes to the parameters would you suggest to improve performance?Keep the epoch * pop_size constant.</t>
  </si>
  <si>
    <t>I'm solving a JSSP of 10_5 (jobs and machines) with the use of ACO. I used parameter values previously suggested by you: epoch=1000.0 , pop_size=30.0 , sample_count=10.0 , intent_factor=0.5 , zeta=2.0 . I did run it 30 times and averaged the results. I got global minimum of 181.6 with std of 6.13. The solution at last epoch had avg fitness of 181.6 with std of 3.66. What changes to the parameters would you suggest to improve performance?Keep the epoch * pop_size constant.</t>
  </si>
  <si>
    <t>I'm solving a JSSP of 10_5 (jobs and machines) with the use of ACO. I used parameter values previously suggested by you: epoch=1000.0 , pop_size=50.0 , sample_count=20.0 , intent_factor=0.5 , zeta=2.0 . I did run it 30 times and averaged the results. I got global minimum of 178.03 with std of 5.02. The solution at last epoch had avg fitness of 178.03 with std of 3.08. What changes to the parameters would you suggest to improve performance?Keep the epoch * pop_size constant.</t>
  </si>
  <si>
    <t>I'm solving a JSSP of 15_5 (jobs and machines) with the use of ACO. I used parameter values previously suggested by you: epoch=100.0 , pop_size=50.0 , sample_count=20.0 , intent_factor=0.5 , zeta=2.0 . I did run it 30 times and averaged the results. I got global minimum of 214.3 with std of 6.42. The solution at last epoch had avg fitness of 214.3 with std of 9.07. What changes to the parameters would you suggest to improve performance?Keep the epoch * pop_size constant.</t>
  </si>
  <si>
    <t>I'm solving a JSSP of 20_5 (jobs and machines) with the use of ACO. I used parameter values previously suggested by you: epoch=1000.0 , pop_size=50.0 , sample_count=10.0 , intent_factor=0.5 , zeta=2.0 . I did run it 30 times and averaged the results. I got global minimum of 211.33 with std of 5.88. The solution at last epoch had avg fitness of 211.33 with std of 6.47. What changes to the parameters would you suggest to improve performance?Keep the epoch * pop_size constant.</t>
  </si>
  <si>
    <t>I'm solving a JSSP of 10_10 (jobs and machines) with the use of ACO. I used parameter values previously suggested by you: epoch=1000.0 , pop_size=50.0 , sample_count=20.0 , intent_factor=0.5 , zeta=2.0 . I did run it 30 times and averaged the results. I got global minimum of 224.6 with std of 6.16. The solution at last epoch had avg fitness of 224.6 with std of 6.93. What changes to the parameters would you suggest to improve performance?Keep the epoch * pop_size constant.</t>
  </si>
  <si>
    <t>I'm solving a JSSP of 10_10 (jobs and machines) with the use of ACO. I used parameter values previously suggested by you: epoch=100.0 , pop_size=50.0 , sample_count=15.0 , intent_factor=0.5 , zeta=2.0 . I did run it 30 times and averaged the results. I got global minimum of 232.83 with std of 5.23. The solution at last epoch had avg fitness of 232.83 with std of 6.32. What changes to the parameters would you suggest to improve performance?Keep the epoch * pop_size constant.</t>
  </si>
  <si>
    <t>I'm solving a JSSP of 10_10 (jobs and machines) with the use of PSO. I used parameter values previously suggested by you: epoch=500.0 , pop_size=50.0 , c1=1.5 , c2=1.5 , w=0.7 . I did run it 30 times and averaged the results. I got global minimum of 284.27 with std of 8.51. The solution at last epoch had avg fitness of 284.27 with std of 6.73. What changes to the parameters would you suggest to improve performance?Keep the epoch * pop_size constant.</t>
  </si>
  <si>
    <t>I'm solving a JSSP of 10_10 (jobs and machines) with the use of PSO. I used parameter values previously suggested by you: epoch=500.0 , pop_size=100.0 , c1=1.5 , c2=1.5 , w=0.7 . I did run it 30 times and averaged the results. I got global minimum of 230.23 with std of 6.12. The solution at last epoch had avg fitness of 230.23 with std of 7.31. What changes to the parameters would you suggest to improve performance?Keep the epoch * pop_size constant.</t>
  </si>
  <si>
    <t>I'm solving a JSSP of 6_6 (jobs and machines) with the use of PSO. I used parameter values previously suggested by you: epoch=1000.0 , pop_size=100.0 , c1=1.5 , c2=1.5 , w=0.7 . I did run it 30 times and averaged the results. I got global minimum of 15.53 with std of 0.42. The solution at last epoch had avg fitness of 15.53 with std of 0.57. What changes to the parameters would you suggest to improve performance?Keep the epoch * pop_size constant.</t>
  </si>
  <si>
    <t>I'm solving a JSSP of 10_10 (jobs and machines) with the use of PSO. I used parameter values previously suggested by you: epoch=1000.0 , pop_size=100.0 , c1=1.5 , c2=1.5 , w=0.7 . I did run it 30 times and averaged the results. I got global minimum of 199.63 with std of 5.32. The solution at last epoch had avg fitness of 199.63 with std of 7.43. What changes to the parameters would you suggest to improve performance?Keep the epoch * pop_size constant.</t>
  </si>
  <si>
    <t>I'm solving a JSSP of 10_5 (jobs and machines) with the use of PSO. I used parameter values previously suggested by you: epoch=1000.0 , pop_size=50.0 , c1=2.0 , c2=2.0 , w=0.7 . I did run it 30 times and averaged the results. I got global minimum of 176.83 with std of 4.26. The solution at last epoch had avg fitness of 176.83 with std of 5.47. What changes to the parameters would you suggest to improve performance?Keep the epoch * pop_size constant.</t>
  </si>
  <si>
    <t>I'm solving a JSSP of 10_5 (jobs and machines) with the use of PSO. I used parameter values previously suggested by you: epoch=5000.0 , pop_size=100.0 , c1=1.5 , c2=1.5 , w=0.7 . I did run it 30 times and averaged the results. I got global minimum of 169.53 with std of 2.74. The solution at last epoch had avg fitness of 169.53 with std of 3.57. What changes to the parameters would you suggest to improve performance?Keep the epoch * pop_size constant.</t>
  </si>
  <si>
    <t>I'm solving a JSSP of 15_5 (jobs and machines) with the use of PSO. I used parameter values previously suggested by you: epoch=1000.0 , pop_size=50.0 , c1=1.5 , c2=1.5 , w=0.7 . I did run it 30 times and averaged the results. I got global minimum of 194.43 with std of 6.57. The solution at last epoch had avg fitness of 194.43 with std of 8.78. What changes to the parameters would you suggest to improve performance?Keep the epoch * pop_size constant.</t>
  </si>
  <si>
    <t>I'm solving a JSSP of 20_5 (jobs and machines) with the use of PSO. I used parameter values previously suggested by you: epoch=500.0 , pop_size=100.0 , c1=1.5 , c2=1.5 , w=0.8 . I did run it 30 times and averaged the results. I got global minimum of 206.1 with std of 4.91. The solution at last epoch had avg fitness of 206.1 with std of 5.9. What changes to the parameters would you suggest to improve performance?Keep the epoch * pop_size constant.</t>
  </si>
  <si>
    <t>I'm solving a JSSP of 10_10 (jobs and machines) with the use of PSO. I used parameter values previously suggested by you: epoch=500.0 , pop_size=100.0 , c1=1.5 , c2=1.5 , w=0.8 . I did run it 30 times and averaged the results. I got global minimum of 218.67 with std of 5.92. The solution at last epoch had avg fitness of 218.67 with std of 6.01. What changes to the parameters would you suggest to improve performance?Keep the epoch * pop_size constant.</t>
  </si>
  <si>
    <t>I'm solving a JSSP of 10_10 (jobs and machines) with the use of PSO. I used parameter values previously suggested by you: epoch=5000.0 , pop_size=200.0 , c1=1.5 , c2=1.5 , w=0.7 . I did run it 30 times and averaged the results. I got global minimum of 200.17 with std of 4.88. The solution at last epoch had avg fitness of 200.17 with std of 3.37. What changes to the parameters would you suggest to improve performance?Keep the epoch * pop_size constant.</t>
  </si>
  <si>
    <t>I'm solving a JSSP of 10_10 (jobs and machines) with the use of PSO. I used parameter values previously suggested by you: epoch=10000.0 , pop_size=50.0 , c1=1.5 , c2=1.5 , w=0.7 . I did run it 30 times and averaged the results. I got global minimum of 270.77 with std of 4.62. The solution at last epoch had avg fitness of 270.77 with std of 5.1. What changes to the parameters would you suggest to improve performance?Keep the epoch * pop_size constant.</t>
  </si>
  <si>
    <t>I'm solving a JSSP of 10_10 (jobs and machines) with the use of PSO. I used parameter values previously suggested by you: epoch=100000.0 , pop_size=50.0 , c1=1.5 , c2=2.0 , w=0.7 . I did run it 30 times and averaged the results. I got global minimum of 211.97 with std of 4.58. The solution at last epoch had avg fitness of 211.97 with std of 4.28. What changes to the parameters would you suggest to improve performance?Keep the epoch * pop_size constant.</t>
  </si>
  <si>
    <t>I'm solving a JSSP of 6_6 (jobs and machines) with the use of PSO. I used parameter values previously suggested by you: epoch=500.0 , pop_size=30.0 , c1=2.0 , c2=2.0 , w=0.7 . I did run it 30 times and averaged the results. I got global minimum of 16.47 with std of 0.54. The solution at last epoch had avg fitness of 16.47 with std of 0.57. What changes to the parameters would you suggest to improve performance?Keep the epoch * pop_size constant.</t>
  </si>
  <si>
    <t>I'm solving a JSSP of 10_10 (jobs and machines) with the use of PSO. I used parameter values previously suggested by you: epoch=1000.0 , pop_size=50.0 , c1=2.0 , c2=2.0 , w=0.7 . I did run it 30 times and averaged the results. I got global minimum of 204.07 with std of 5.99. The solution at last epoch had avg fitness of 204.07 with std of 4.0. What changes to the parameters would you suggest to improve performance?Keep the epoch * pop_size constant.</t>
  </si>
  <si>
    <t>I'm solving a JSSP of 10_5 (jobs and machines) with the use of PSO. I used parameter values previously suggested by you: epoch=5000.0 , pop_size=50.0 , c1=1.5 , c2=2.0 , w=0.8 . I did run it 30 times and averaged the results. I got global minimum of 173.93 with std of 3.27. The solution at last epoch had avg fitness of 173.93 with std of 3.22. What changes to the parameters would you suggest to improve performance?Keep the epoch * pop_size constant.</t>
  </si>
  <si>
    <t>I'm solving a JSSP of 10_5 (jobs and machines) with the use of PSO. I used parameter values previously suggested by you: epoch=5000.0 , pop_size=50.0 , c1=1.5 , c2=1.5 , w=0.7 . I did run it 30 times and averaged the results. I got global minimum of 171.17 with std of 3.17. The solution at last epoch had avg fitness of 171.17 with std of 2.89. What changes to the parameters would you suggest to improve performance?Keep the epoch * pop_size constant.</t>
  </si>
  <si>
    <t>I'm solving a JSSP of 15_5 (jobs and machines) with the use of PSO. I used parameter values previously suggested by you: epoch=5000.0 , pop_size=50.0 , c1=1.5 , c2=1.5 , w=0.7 . I did run it 30 times and averaged the results. I got global minimum of 185.1 with std of 6.66. The solution at last epoch had avg fitness of 185.1 with std of 4.49. What changes to the parameters would you suggest to improve performance?Keep the epoch * pop_size constant.</t>
  </si>
  <si>
    <t>I'm solving a JSSP of 20_5 (jobs and machines) with the use of PSO. I used parameter values previously suggested by you: epoch=1000.0 , pop_size=50.0 , c1=1.5 , c2=2.0 , w=0.7 . I did run it 30 times and averaged the results. I got global minimum of 206.1 with std of 4.55. The solution at last epoch had avg fitness of 206.1 with std of 4.89. What changes to the parameters would you suggest to improve performance?Keep the epoch * pop_size constant.</t>
  </si>
  <si>
    <t>I'm solving a JSSP of 10_10 (jobs and machines) with the use of PSO. I used parameter values previously suggested by you: epoch=1000.0 , pop_size=50.0 , c1=1.5 , c2=1.5 , w=0.7 . I did run it 30 times and averaged the results. I got global minimum of 220.03 with std of 5.02. The solution at last epoch had avg fitness of 220.03 with std of 5.79. What changes to the parameters would you suggest to improve performance?Keep the epoch * pop_size constant.</t>
  </si>
  <si>
    <t>I'm solving a JSSP of 10_10 (jobs and machines) with the use of PSO. I used parameter values previously suggested by you: epoch=10000.0 , pop_size=50.0 , c1=1.5 , c2=1.5 , w=0.7 . I did run it 30 times and averaged the results. I got global minimum of 203.97 with std of 5.25. The solution at last epoch had avg fitness of 203.97 with std of 6.07. What changes to the parameters would you suggest to improve performance?Keep the epoch * pop_size constant.</t>
  </si>
  <si>
    <t>I'm solving a JSSP of 10_10 (jobs and machines) with the use of PSO. I used parameter values previously suggested by you: epoch=200.0 , pop_size=50.0 , c1=1.5 , c2=1.5 , w=0.7 . I did run it 30 times and averaged the results. I got global minimum of 289.0 with std of 8.09. The solution at last epoch had avg fitness of 289.0 with std of 9.33. What changes to the parameters would you suggest to improve performance?Keep the epoch * pop_size constant.</t>
  </si>
  <si>
    <t>I'm solving a JSSP of 10_10 (jobs and machines) with the use of PSO. I used parameter values previously suggested by you: epoch=200.0 , pop_size=50.0 , c1=1.5 , c2=1.5 , w=0.7 . I did run it 30 times and averaged the results. I got global minimum of 240.37 with std of 5.45. The solution at last epoch had avg fitness of 240.37 with std of 5.49. What changes to the parameters would you suggest to improve performance?Keep the epoch * pop_size constant.</t>
  </si>
  <si>
    <t>I'm solving a JSSP of 6_6 (jobs and machines) with the use of PSO. I used parameter values previously suggested by you: epoch=200.0 , pop_size=50.0 , c1=1.5 , c2=2.0 , w=0.7 . I did run it 30 times and averaged the results. I got global minimum of 16.6 with std of 0.52. The solution at last epoch had avg fitness of 16.6 with std of 0.67. What changes to the parameters would you suggest to improve performance?Keep the epoch * pop_size constant.</t>
  </si>
  <si>
    <t>I'm solving a JSSP of 10_10 (jobs and machines) with the use of PSO. I used parameter values previously suggested by you: epoch=200.0 , pop_size=50.0 , c1=1.5 , c2=1.5 , w=0.7 . I did run it 30 times and averaged the results. I got global minimum of 210.3 with std of 6.5. The solution at last epoch had avg fitness of 210.3 with std of 7.66. What changes to the parameters would you suggest to improve performance?Keep the epoch * pop_size constant.</t>
  </si>
  <si>
    <t>I'm solving a JSSP of 10_5 (jobs and machines) with the use of PSO. I used parameter values previously suggested by you: epoch=200.0 , pop_size=50.0 , c1=1.5 , c2=1.5 , w=0.7 . I did run it 30 times and averaged the results. I got global minimum of 182.63 with std of 5.45. The solution at last epoch had avg fitness of 182.63 with std of 4.48. What changes to the parameters would you suggest to improve performance?Keep the epoch * pop_size constant.</t>
  </si>
  <si>
    <t>I'm solving a JSSP of 10_5 (jobs and machines) with the use of PSO. I used parameter values previously suggested by you: epoch=200.0 , pop_size=50.0 , c1=1.5 , c2=1.5 , w=0.7 . I did run it 30 times and averaged the results. I got global minimum of 180.33 with std of 4.89. The solution at last epoch had avg fitness of 180.33 with std of 3.53. What changes to the parameters would you suggest to improve performance?Keep the epoch * pop_size constant.</t>
  </si>
  <si>
    <t>I'm solving a JSSP of 15_5 (jobs and machines) with the use of PSO. I used parameter values previously suggested by you: epoch=200.0 , pop_size=50.0 , c1=1.5 , c2=1.5 , w=0.7 . I did run it 30 times and averaged the results. I got global minimum of 205.27 with std of 6.82. The solution at last epoch had avg fitness of 205.27 with std of 7.28. What changes to the parameters would you suggest to improve performance?Keep the epoch * pop_size constant.</t>
  </si>
  <si>
    <t>I'm solving a JSSP of 20_5 (jobs and machines) with the use of PSO. I used parameter values previously suggested by you: epoch=200.0 , pop_size=50.0 , c1=1.5 , c2=1.5 , w=0.7 . I did run it 30 times and averaged the results. I got global minimum of 212.97 with std of 4.93. The solution at last epoch had avg fitness of 212.97 with std of 5.98. What changes to the parameters would you suggest to improve performance?Keep the epoch * pop_size constant.</t>
  </si>
  <si>
    <t>I'm solving a JSSP of 10_10 (jobs and machines) with the use of PSO. I used parameter values previously suggested by you: epoch=200.0 , pop_size=50.0 , c1=1.5 , c2=1.5 , w=0.7 . I did run it 30 times and averaged the results. I got global minimum of 228.67 with std of 6.04. The solution at last epoch had avg fitness of 228.67 with std of 6.64. What changes to the parameters would you suggest to improve performance?Keep the epoch * pop_size constant.</t>
  </si>
  <si>
    <t>I'm solving a JSSP of 10_10 (jobs and machines) with the use of PSO. I used parameter values previously suggested by you: epoch=200.0 , pop_size=50.0 , c1=1.5 , c2=2.0 , w=0.7 . I did run it 30 times and averaged the results. I got global minimum of 224.87 with std of 3.89. The solution at last epoch had avg fitness of 224.87 with std of 6.17. What changes to the parameters would you suggest to improve performance?Keep the epoch * pop_size constant.</t>
  </si>
  <si>
    <t>I'm solving a JSSP of 10_10 (jobs and machines) with the use of PSO. I used parameter values previously suggested by you: epoch=1000.0 , pop_size=50.0 , c1=1.5 , c2=1.5 , w=0.7 . I did run it 30 times and averaged the results. I got global minimum of 280.5 with std of 7.46. The solution at last epoch had avg fitness of 280.5 with std of 7.33. What changes to the parameters would you suggest to improve performance?Keep the epoch * pop_size constant.</t>
  </si>
  <si>
    <t>I'm solving a JSSP of 10_10 (jobs and machines) with the use of PSO. I used parameter values previously suggested by you: epoch=1000.0 , pop_size=50.0 , c1=1.5 , c2=1.5 , w=0.7 . I did run it 30 times and averaged the results. I got global minimum of 233.13 with std of 5.28. The solution at last epoch had avg fitness of 233.13 with std of 6.27. What changes to the parameters would you suggest to improve performance?Keep the epoch * pop_size constant.</t>
  </si>
  <si>
    <t>I'm solving a JSSP of 6_6 (jobs and machines) with the use of PSO. I used parameter values previously suggested by you: epoch=1000.0 , pop_size=50.0 , c1=1.5 , c2=1.5 , w=0.7 . I did run it 30 times and averaged the results. I got global minimum of 15.7 with std of 0.47. The solution at last epoch had avg fitness of 15.7 with std of 0.65. What changes to the parameters would you suggest to improve performance?Keep the epoch * pop_size constant.</t>
  </si>
  <si>
    <t>I'm solving a JSSP of 10_10 (jobs and machines) with the use of PSO. I used parameter values previously suggested by you: epoch=500.0 , pop_size=100.0 , c1=1.5 , c2=1.5 , w=0.7 . I did run it 30 times and averaged the results. I got global minimum of 203.2 with std of 5.38. The solution at last epoch had avg fitness of 203.2 with std of 5.12. What changes to the parameters would you suggest to improve performance?Keep the epoch * pop_size constant.</t>
  </si>
  <si>
    <t>I'm solving a JSSP of 10_5 (jobs and machines) with the use of PSO. I used parameter values previously suggested by you: epoch=500.0 , pop_size=100.0 , c1=1.5 , c2=1.5 , w=0.7 . I did run it 30 times and averaged the results. I got global minimum of 177.3 with std of 3.4. The solution at last epoch had avg fitness of 177.3 with std of 2.89. What changes to the parameters would you suggest to improve performance?Keep the epoch * pop_size constant.</t>
  </si>
  <si>
    <t>I'm solving a JSSP of 10_5 (jobs and machines) with the use of PSO. I used parameter values previously suggested by you: epoch=5000.0 , pop_size=100.0 , c1=1.5 , c2=1.5 , w=0.7 . I did run it 30 times and averaged the results. I got global minimum of 168.87 with std of 3.02. The solution at last epoch had avg fitness of 168.87 with std of 3.32. What changes to the parameters would you suggest to improve performance?Keep the epoch * pop_size constant.</t>
  </si>
  <si>
    <t>I'm solving a JSSP of 15_5 (jobs and machines) with the use of PSO. I used parameter values previously suggested by you: epoch=5000.0 , pop_size=50.0 , c1=1.5 , c2=1.5 , w=0.7 . I did run it 30 times and averaged the results. I got global minimum of 187.03 with std of 5.76. The solution at last epoch had avg fitness of 187.03 with std of 5.26. What changes to the parameters would you suggest to improve performance?Keep the epoch * pop_size constant.</t>
  </si>
  <si>
    <t>I'm solving a JSSP of 20_5 (jobs and machines) with the use of PSO. I used parameter values previously suggested by you: epoch=1000.0 , pop_size=50.0 , c1=1.5 , c2=1.5 , w=0.7 . I did run it 30 times and averaged the results. I got global minimum of 204.8 with std of 5.19. The solution at last epoch had avg fitness of 204.8 with std of 5.9. What changes to the parameters would you suggest to improve performance?Keep the epoch * pop_size constant.</t>
  </si>
  <si>
    <t>I'm solving a JSSP of 10_10 (jobs and machines) with the use of PSO. I used parameter values previously suggested by you: epoch=1000.0 , pop_size=50.0 , c1=1.5 , c2=1.5 , w=0.6 . I did run it 30 times and averaged the results. I got global minimum of 219.43 with std of 5.4. The solution at last epoch had avg fitness of 219.43 with std of 4.47. What changes to the parameters would you suggest to improve performance?Keep the epoch * pop_size constant.</t>
  </si>
  <si>
    <t>I'm solving a JSSP of 10_10 (jobs and machines) with the use of PSO. I used parameter values previously suggested by you: epoch=2000.0 , pop_size=50.0 , c1=1.5 , c2=1.5 , w=0.7 . I did run it 30 times and averaged the results. I got global minimum of 212.3 with std of 5.06. The solution at last epoch had avg fitness of 212.3 with std of 8.11. What changes to the parameters would you suggest to improve performance?Keep the epoch * pop_size constant.</t>
  </si>
  <si>
    <t>I'm solving a JSSP of 10_10 (jobs and machines) with the use of GA. I used parameter values previously suggested by you: epoch=1000.0 , pop_size=100.0 , pc=0.9 , pm=0.1 , selection=tournament , crossover=uniform , mutation_multipoints=True , mutation=swap . I did run it 30 times and averaged the results. I got global minimum of 251.5 with std of 10.58. The solution at last epoch had avg fitness of 302.03 with std of 22.28. What changes to the parameters would you suggest to improve performance?Keep the epoch * pop_size constant.</t>
  </si>
  <si>
    <t>I'm solving a JSSP of 10_10 (jobs and machines) with the use of GA. I used parameter values previously suggested by you: epoch=1000.0 , pop_size=100.0 , pc=0.8 , pm=0.2 , selection=tournament , crossover=uniform , mutation_multipoints=True , mutation=swap . I did run it 30 times and averaged the results. I got global minimum of 202.83 with std of 8.94. The solution at last epoch had avg fitness of 243.13 with std of 9.13. What changes to the parameters would you suggest to improve performance?Keep the epoch * pop_size constant.</t>
  </si>
  <si>
    <t>I'm solving a JSSP of 6_6 (jobs and machines) with the use of GA. I used parameter values previously suggested by you: epoch=1000.0 , pop_size=50.0 , pc=0.8 , pm=0.2 , selection=tournament , crossover=uniform , mutation_multipoints=True , mutation=swap . I did run it 30 times and averaged the results. I got global minimum of 13.03 with std of 0.85. The solution at last epoch had avg fitness of 17.3 with std of 1.53. What changes to the parameters would you suggest to improve performance?Keep the epoch * pop_size constant.</t>
  </si>
  <si>
    <t>I'm solving a JSSP of 10_10 (jobs and machines) with the use of GA. I used parameter values previously suggested by you: epoch=500.0 , pop_size=100.0 , pc=0.8 , pm=0.2 , selection=tournament , crossover=uniform , mutation_multipoints=True , mutation=swap . I did run it 30 times and averaged the results. I got global minimum of 181.4 with std of 8.49. The solution at last epoch had avg fitness of 210.83 with std of 13.55. What changes to the parameters would you suggest to improve performance?Keep the epoch * pop_size constant.</t>
  </si>
  <si>
    <t>I'm solving a JSSP of 10_5 (jobs and machines) with the use of GA. I used parameter values previously suggested by you: epoch=1000.0 , pop_size=100.0 , pc=0.8 , pm=0.2 , selection=tournament , crossover=uniform , mutation_multipoints=True , mutation=swap . I did run it 30 times and averaged the results. I got global minimum of 160.0 with std of 6.1. The solution at last epoch had avg fitness of 192.7 with std of 9.11. What changes to the parameters would you suggest to improve performance?Keep the epoch * pop_size constant.</t>
  </si>
  <si>
    <t>I'm solving a JSSP of 10_5 (jobs and machines) with the use of GA. I used parameter values previously suggested by you: epoch=100000.0 , pop_size=50.0 , pc=0.8 , pm=0.2 , selection=tournament , crossover=uniform , mutation_multipoints=True , mutation=swap . I did run it 30 times and averaged the results. I got global minimum of 147.3 with std of 3.54. The solution at last epoch had avg fitness of 199.4 with std of 16.82. What changes to the parameters would you suggest to improve performance?Keep the epoch * pop_size constant.</t>
  </si>
  <si>
    <t>I'm solving a JSSP of 15_5 (jobs and machines) with the use of GA. I used parameter values previously suggested by you: epoch=1000.0 , pop_size=100.0 , pc=0.8 , pm=0.2 , selection=tournament , crossover=uniform , mutation_multipoints=True , mutation=swap . I did run it 30 times and averaged the results. I got global minimum of 170.93 with std of 8.42. The solution at last epoch had avg fitness of 205.07 with std of 11.64. What changes to the parameters would you suggest to improve performance?Keep the epoch * pop_size constant.</t>
  </si>
  <si>
    <t>I'm solving a JSSP of 20_5 (jobs and machines) with the use of GA. I used parameter values previously suggested by you: epoch=10000.0 , pop_size=100.0 , pc=0.9 , pm=0.1 , selection=tournament , crossover=uniform , mutation_multipoints=True , mutation=swap . I did run it 30 times and averaged the results. I got global minimum of 180.57 with std of 4.19. The solution at last epoch had avg fitness of 228.37 with std of 12.38. What changes to the parameters would you suggest to improve performance?Keep the epoch * pop_size constant.</t>
  </si>
  <si>
    <t>I'm solving a JSSP of 10_10 (jobs and machines) with the use of GA. I used parameter values previously suggested by you: epoch=500.0 , pop_size=100.0 , pc=0.8 , pm=0.1 , selection=tournament , crossover=uniform , mutation_multipoints=True , mutation=swap . I did run it 30 times and averaged the results. I got global minimum of 191.7 with std of 11.13. The solution at last epoch had avg fitness of 222.97 with std of 11.16. What changes to the parameters would you suggest to improve performance?Keep the epoch * pop_size constant.</t>
  </si>
  <si>
    <t>I'm solving a JSSP of 10_10 (jobs and machines) with the use of GA. I used parameter values previously suggested by you: epoch=500.0 , pop_size=200.0 , pc=0.8 , pm=0.2 , selection=tournament , crossover=uniform , mutation_multipoints=True , mutation=swap . I did run it 30 times and averaged the results. I got global minimum of 182.13 with std of 9.55. The solution at last epoch had avg fitness of 202.47 with std of 11.77. What changes to the parameters would you suggest to improve performance?Keep the epoch * pop_size constant.</t>
  </si>
  <si>
    <t>I'm solving a JSSP of 10_10 (jobs and machines) with the use of GA. I used parameter values previously suggested by you: epoch=5000.0 , pop_size=100.0 , pc=0.8 , pm=0.1 , selection=tournament , crossover=uniform , mutation_multipoints=True , mutation=swap . I did run it 30 times and averaged the results. I got global minimum of 244.8 with std of 6.04. The solution at last epoch had avg fitness of 296.8 with std of 16.33. What changes to the parameters would you suggest to improve performance?Keep the epoch * pop_size constant.</t>
  </si>
  <si>
    <t>I'm solving a JSSP of 10_10 (jobs and machines) with the use of GA. I used parameter values previously suggested by you: epoch=10000.0 , pop_size=100.0 , pc=0.9 , pm=0.1 , selection=tournament , crossover=one_point , mutation_multipoints=False , mutation=swap . I did run it 30 times and averaged the results. I got global minimum of 186.4 with std of 5.47. The solution at last epoch had avg fitness of 238.0 with std of 9.04. What changes to the parameters would you suggest to improve performance?Keep the epoch * pop_size constant.</t>
  </si>
  <si>
    <t>I'm solving a JSSP of 6_6 (jobs and machines) with the use of GA. I used parameter values previously suggested by you: epoch=1000.0 , pop_size=50.0 , pc=0.8 , pm=0.1 , selection=roulette , crossover=one_point , mutation_multipoints=False , mutation=swap . I did run it 30 times and averaged the results. I got global minimum of 14.27 with std of 0.7. The solution at last epoch had avg fitness of 18.4 with std of 1.0. What changes to the parameters would you suggest to improve performance?Keep the epoch * pop_size constant.</t>
  </si>
  <si>
    <t>I'm solving a JSSP of 10_10 (jobs and machines) with the use of GA. I used parameter values previously suggested by you: epoch=10000.0 , pop_size=100.0 , pc=0.9 , pm=0.1 , selection=tournament , crossover=one_point , mutation_multipoints=True , mutation=swap . I did run it 30 times and averaged the results. I got global minimum of 171.03 with std of 3.35. The solution at last epoch had avg fitness of 202.03 with std of 9.26. What changes to the parameters would you suggest to improve performance?Keep the epoch * pop_size constant.</t>
  </si>
  <si>
    <t>I'm solving a JSSP of 10_5 (jobs and machines) with the use of GA. I used parameter values previously suggested by you: epoch=500.0 , pop_size=50.0 , pc=0.8 , pm=0.1 , selection=tournament , crossover=uniform , mutation_multipoints=False , mutation=swap . I did run it 30 times and averaged the results. I got global minimum of 172.03 with std of 5.04. The solution at last epoch had avg fitness of 204.97 with std of 13.87. What changes to the parameters would you suggest to improve performance?Keep the epoch * pop_size constant.</t>
  </si>
  <si>
    <t>I'm solving a JSSP of 10_5 (jobs and machines) with the use of GA. I used parameter values previously suggested by you: epoch=1000.0 , pop_size=100.0 , pc=0.8 , pm=0.1 , selection=tournament , crossover=one_point , mutation_multipoints=True , mutation=swap . I did run it 30 times and averaged the results. I got global minimum of 155.17 with std of 5.4. The solution at last epoch had avg fitness of 176.73 with std of 5.67. What changes to the parameters would you suggest to improve performance?Keep the epoch * pop_size constant.</t>
  </si>
  <si>
    <t>I'm solving a JSSP of 15_5 (jobs and machines) with the use of GA. I used parameter values previously suggested by you: epoch=1000.0 , pop_size=100.0 , pc=0.8 , pm=0.1 , selection=tournament , crossover=one_point , mutation_multipoints=False , mutation=swap . I did run it 30 times and averaged the results. I got global minimum of 169.9 with std of 6.53. The solution at last epoch had avg fitness of 202.27 with std of 10.59. What changes to the parameters would you suggest to improve performance?Keep the epoch * pop_size constant.</t>
  </si>
  <si>
    <t>I'm solving a JSSP of 20_5 (jobs and machines) with the use of GA. I used parameter values previously suggested by you: epoch=10000.0 , pop_size=100.0 , pc=0.8 , pm=0.1 , selection=tournament , crossover=uniform , mutation_multipoints=False , mutation=swap . I did run it 30 times and averaged the results. I got global minimum of 176.2 with std of 4.54. The solution at last epoch had avg fitness of 219.23 with std of 12.17. What changes to the parameters would you suggest to improve performance?Keep the epoch * pop_size constant.</t>
  </si>
  <si>
    <t>I'm solving a JSSP of 10_10 (jobs and machines) with the use of GA. I used parameter values previously suggested by you: epoch=5000.0 , pop_size=100.0 , pc=0.9 , pm=0.1 , selection=tournament , crossover=uniform , mutation_multipoints=False , mutation=swap . I did run it 30 times and averaged the results. I got global minimum of 192.3 with std of 6.23. The solution at last epoch had avg fitness of 248.2 with std of 13.29. What changes to the parameters would you suggest to improve performance?Keep the epoch * pop_size constant.</t>
  </si>
  <si>
    <t>I'm solving a JSSP of 10_10 (jobs and machines) with the use of GA. I used parameter values previously suggested by you: epoch=5000.0 , pop_size=100.0 , pc=0.8 , pm=0.1 , selection=tournament , crossover=one_point , mutation_multipoints=False , mutation=swap . I did run it 30 times and averaged the results. I got global minimum of 181.47 with std of 4.43. The solution at last epoch had avg fitness of 218.6 with std of 11.74. What changes to the parameters would you suggest to improve performance?Keep the epoch * pop_size constant.</t>
  </si>
  <si>
    <t>I'm solving a JSSP of 10_10 (jobs and machines) with the use of GA. I used parameter values previously suggested by you: epoch=200.0 , pop_size=50.0 , pc=0.9 , pm=0.1 , selection=tournament , crossover=multi_points , mutation_multipoints=True , mutation=swap . I did run it 30 times and averaged the results. I got global minimum of 264.93 with std of 11.12. The solution at last epoch had avg fitness of 308.2 with std of 16.02. What changes to the parameters would you suggest to improve performance?Keep the epoch * pop_size constant.</t>
  </si>
  <si>
    <t>I'm solving a JSSP of 10_10 (jobs and machines) with the use of GA. I used parameter values previously suggested by you: epoch=200.0 , pop_size=50.0 , pc=0.9 , pm=0.2 , selection=tournament , crossover=multi_points , mutation_multipoints=True , mutation=swap . I did run it 30 times and averaged the results. I got global minimum of 221.93 with std of 8.31. The solution at last epoch had avg fitness of 255.17 with std of 9.21. What changes to the parameters would you suggest to improve performance?Keep the epoch * pop_size constant.</t>
  </si>
  <si>
    <t>I'm solving a JSSP of 6_6 (jobs and machines) with the use of GA. I used parameter values previously suggested by you: epoch=200.0 , pop_size=50.0 , pc=0.9 , pm=0.1 , selection=tournament , crossover=multi_points , mutation_multipoints=True , mutation=swap . I did run it 30 times and averaged the results. I got global minimum of 13.87 with std of 1.15. The solution at last epoch had avg fitness of 17.53 with std of 1.22. What changes to the parameters would you suggest to improve performance?Keep the epoch * pop_size constant.</t>
  </si>
  <si>
    <t>I'm solving a JSSP of 10_10 (jobs and machines) with the use of GA. I used parameter values previously suggested by you: epoch=500.0 , pop_size=50.0 , pc=0.9 , pm=0.1 , selection=tournament , crossover=multi_points , mutation_multipoints=True , mutation=swap . I did run it 30 times and averaged the results. I got global minimum of 189.63 with std of 8.17. The solution at last epoch had avg fitness of 223.43 with std of 11.24. What changes to the parameters would you suggest to improve performance?Keep the epoch * pop_size constant.</t>
  </si>
  <si>
    <t>I'm solving a JSSP of 10_5 (jobs and machines) with the use of GA. I used parameter values previously suggested by you: epoch=200.0 , pop_size=50.0 , pc=0.95 , pm=0.01 , selection=tournament , crossover=multi_points , mutation_multipoints=True , mutation=swap . I did run it 30 times and averaged the results. I got global minimum of 170.93 with std of 6.8. The solution at last epoch had avg fitness of 191.37 with std of 9.47. What changes to the parameters would you suggest to improve performance?Keep the epoch * pop_size constant.</t>
  </si>
  <si>
    <t>I'm solving a JSSP of 10_5 (jobs and machines) with the use of GA. I used parameter values previously suggested by you: epoch=200.0 , pop_size=50.0 , pc=0.9 , pm=0.1 , selection=tournament , crossover=multi_points , mutation_multipoints=True , mutation=swap . I did run it 30 times and averaged the results. I got global minimum of 169.73 with std of 5.91. The solution at last epoch had avg fitness of 194.43 with std of 12.07. What changes to the parameters would you suggest to improve performance?Keep the epoch * pop_size constant.</t>
  </si>
  <si>
    <t>I'm solving a JSSP of 15_5 (jobs and machines) with the use of GA. I used parameter values previously suggested by you: epoch=200.0 , pop_size=50.0 , pc=0.9 , pm=0.1 , selection=tournament , crossover=multi_points , mutation_multipoints=True , mutation=swap . I did run it 30 times and averaged the results. I got global minimum of 183.7 with std of 10.05. The solution at last epoch had avg fitness of 223.6 with std of 12.4. What changes to the parameters would you suggest to improve performance?Keep the epoch * pop_size constant.</t>
  </si>
  <si>
    <t>I'm solving a JSSP of 20_5 (jobs and machines) with the use of GA. I used parameter values previously suggested by you: epoch=200.0 , pop_size=50.0 , pc=0.9 , pm=0.1 , selection=tournament , crossover=multi_points , mutation_multipoints=True , mutation=swap . I did run it 30 times and averaged the results. I got global minimum of 198.37 with std of 6.61. The solution at last epoch had avg fitness of 225.1 with std of 11.02. What changes to the parameters would you suggest to improve performance?Keep the epoch * pop_size constant.</t>
  </si>
  <si>
    <t>I'm solving a JSSP of 10_10 (jobs and machines) with the use of GA. I used parameter values previously suggested by you: epoch=200.0 , pop_size=50.0 , pc=0.9 , pm=0.1 , selection=tournament , crossover=multi_points , mutation_multipoints=True , mutation=swap . I did run it 30 times and averaged the results. I got global minimum of 204.03 with std of 9.9. The solution at last epoch had avg fitness of 241.8 with std of 12.9. What changes to the parameters would you suggest to improve performance?Keep the epoch * pop_size constant.</t>
  </si>
  <si>
    <t>I'm solving a JSSP of 10_10 (jobs and machines) with the use of GA. I used parameter values previously suggested by you: epoch=500.0 , pop_size=50.0 , pc=0.9 , pm=0.1 , selection=tournament , crossover=multi_points , mutation_multipoints=True , mutation=swap . I did run it 30 times and averaged the results. I got global minimum of 195.87 with std of 8.97. The solution at last epoch had avg fitness of 234.47 with std of 12.0. What changes to the parameters would you suggest to improve performance?Keep the epoch * pop_size constant.</t>
  </si>
  <si>
    <t>I'm solving a JSSP of 10_10 (jobs and machines) with the use of GA. I used parameter values previously suggested by you: epoch=1000.0 , pop_size=100.0 , pc=0.8 , pm=0.2 , selection=tournament , crossover=multi_points , mutation_multipoints=True , mutation=swap . I did run it 30 times and averaged the results. I got global minimum of 238.8 with std of 9.07. The solution at last epoch had avg fitness of 268.1 with std of 11.76. What changes to the parameters would you suggest to improve performance?Keep the epoch * pop_size constant.</t>
  </si>
  <si>
    <t>I'm solving a JSSP of 10_10 (jobs and machines) with the use of GA. I used parameter values previously suggested by you: epoch=1000.0 , pop_size=100.0 , pc=0.9 , pm=0.1 , selection=tournament , crossover=multi_points , mutation_multipoints=True , mutation=swap . I did run it 30 times and averaged the results. I got global minimum of 193.2 with std of 9.25. The solution at last epoch had avg fitness of 227.23 with std of 10.39. What changes to the parameters would you suggest to improve performance?Keep the epoch * pop_size constant.</t>
  </si>
  <si>
    <t>I'm solving a JSSP of 6_6 (jobs and machines) with the use of GA. I used parameter values previously suggested by you: epoch=1000.0 , pop_size=50.0 , pc=0.8 , pm=0.1 , selection=tournament , crossover=multi_points , mutation_multipoints=True , mutation=swap . I did run it 30 times and averaged the results. I got global minimum of 13.37 with std of 0.71. The solution at last epoch had avg fitness of 17.7 with std of 1.26. What changes to the parameters would you suggest to improve performance?Keep the epoch * pop_size constant.</t>
  </si>
  <si>
    <t>I'm solving a JSSP of 10_10 (jobs and machines) with the use of GA. I used parameter values previously suggested by you: epoch=1000.0 , pop_size=100.0 , pc=0.8 , pm=0.1 , selection=tournament , crossover=multi_points , mutation_multipoints=True , mutation=swap . I did run it 30 times and averaged the results. I got global minimum of 172.77 with std of 7.99. The solution at last epoch had avg fitness of 194.9 with std of 10.41. What changes to the parameters would you suggest to improve performance?Keep the epoch * pop_size constant.</t>
  </si>
  <si>
    <t>I'm solving a JSSP of 10_5 (jobs and machines) with the use of GA. I used parameter values previously suggested by you: epoch=1000.0 , pop_size=50.0 , pc=0.8 , pm=0.1 , selection=tournament , crossover=multi_points , mutation_multipoints=False , mutation=swap . I did run it 30 times and averaged the results. I got global minimum of 168.0 with std of 4.12. The solution at last epoch had avg fitness of 200.63 with std of 12.36. What changes to the parameters would you suggest to improve performance?Keep the epoch * pop_size constant.</t>
  </si>
  <si>
    <t>I'm solving a JSSP of 10_5 (jobs and machines) with the use of GA. I used parameter values previously suggested by you: epoch=10000.0 , pop_size=100.0 , pc=0.8 , pm=0.1 , selection=tournament , crossover=multi_points , mutation_multipoints=True , mutation=swap . I did run it 30 times and averaged the results. I got global minimum of 144.13 with std of 4.35. The solution at last epoch had avg fitness of 175.53 with std of 7.19. What changes to the parameters would you suggest to improve performance?Keep the epoch * pop_size constant.</t>
  </si>
  <si>
    <t>I'm solving a JSSP of 15_5 (jobs and machines) with the use of GA. I used parameter values previously suggested by you: epoch=1000.0 , pop_size=100.0 , pc=0.9 , pm=0.1 , selection=tournament , crossover=uniform , mutation_multipoints=True , mutation=swap . I did run it 30 times and averaged the results. I got global minimum of 174.57 with std of 7.93. The solution at last epoch had avg fitness of 219.3 with std of 15.49. What changes to the parameters would you suggest to improve performance?Keep the epoch * pop_size constant.</t>
  </si>
  <si>
    <t>I'm solving a JSSP of 20_5 (jobs and machines) with the use of GA. I used parameter values previously suggested by you: epoch=10000.0 , pop_size=100.0 , pc=0.9 , pm=0.1 , selection=tournament , crossover=uniform , mutation_multipoints=True , mutation=swap . I did run it 30 times and averaged the results. I got global minimum of 179.3 with std of 5.04. The solution at last epoch had avg fitness of 231.7 with std of 12.44. What changes to the parameters would you suggest to improve performance?Keep the epoch * pop_size constant.</t>
  </si>
  <si>
    <t>I'm solving a JSSP of 10_10 (jobs and machines) with the use of GA. I used parameter values previously suggested by you: epoch=10000.0 , pop_size=100.0 , pc=0.8 , pm=0.1 , selection=tournament , crossover=uniform , mutation_multipoints=True , mutation=swap . I did run it 30 times and averaged the results. I got global minimum of 181.8 with std of 4.98. The solution at last epoch had avg fitness of 223.87 with std of 10.8. What changes to the parameters would you suggest to improve performance?Keep the epoch * pop_size constant.</t>
  </si>
  <si>
    <t>I'm solving a JSSP of 10_10 (jobs and machines) with the use of GA. I used parameter values previously suggested by you: epoch=5000.0 , pop_size=100.0 , pc=0.8 , pm=0.1 , selection=tournament , crossover=multi_points , mutation_multipoints=True , mutation=swap . I did run it 30 times and averaged the results. I got global minimum of 176.7 with std of 4.69. The solution at last epoch had avg fitness of 204.93 with std of 9.4. What changes to the parameters would you suggest to improve performance?Keep the epoch * pop_size constant.</t>
  </si>
  <si>
    <t>I'm solving a GCP of 11 20 (edges and nodes) with the use of PSO. I used parameter values previously suggested by you: epoch=500.0 , pop_size=50.0 , c1=1.5 , c2=1.5 , w=0.7 . I did run it 30 times and averaged the results. I got global minimum of 0.22 with std of 0.05. The solution at last epoch had avg fitness of 0.22 with std of 0.06. What changes to the parameters would you suggest to improve performance?Keep the epoch * pop_size constant.</t>
  </si>
  <si>
    <t>I'm solving a GCP of 23 71 (edges and nodes) with the use of PSO. I used parameter values previously suggested by you: epoch=1000.0 , pop_size=50.0 , c1=2.0 , c2=2.0 , w=0.7 . I did run it 30 times and averaged the results. I got global minimum of 0.62 with std of 0.02. The solution at last epoch had avg fitness of 0.62 with std of 0.03. What changes to the parameters would you suggest to improve performance?Keep the epoch * pop_size constant.</t>
  </si>
  <si>
    <t>I'm solving a GCP of 47 236 (edges and nodes) with the use of PSO. I used parameter values previously suggested by you: epoch=5000.0 , pop_size=100.0 , c1=1.5 , c2=1.5 , w=0.7 . I did run it 30 times and averaged the results. I got global minimum of 0.75 with std of 0.01. The solution at last epoch had avg fitness of 0.75 with std of 0.03. What changes to the parameters would you suggest to improve performance?Keep the epoch * pop_size constant.</t>
  </si>
  <si>
    <t>I'm solving a GCP of 95 755 (edges and nodes) with the use of PSO. I used parameter values previously suggested by you: epoch=5000.0 , pop_size=100.0 , c1=1.5 , c2=1.5 , w=0.7 . I did run it 30 times and averaged the results. I got global minimum of 0.86 with std of 0.01. The solution at last epoch had avg fitness of 0.86 with std of 0.02. What changes to the parameters would you suggest to improve performance?Keep the epoch * pop_size constant.</t>
  </si>
  <si>
    <t>I'm solving a GCP of 191 2360 (edges and nodes) with the use of PSO. I used parameter values previously suggested by you: epoch=5000.0 , pop_size=100.0 , c1=1.5 , c2=1.5 , w=0.8 . I did run it 30 times and averaged the results. I got global minimum of 0.93 with std of 0.0. The solution at last epoch had avg fitness of 0.93 with std of 0.01. What changes to the parameters would you suggest to improve performance?Keep the epoch * pop_size constant.</t>
  </si>
  <si>
    <t>I'm solving a GCP of 25 160 (edges and nodes) with the use of PSO. I used parameter values previously suggested by you: epoch=500.0 , pop_size=50.0 , c1=1.5 , c2=1.5 , w=0.7 . I did run it 30 times and averaged the results. I got global minimum of 0.64 with std of 0.02. The solution at last epoch had avg fitness of 0.64 with std of 0.05. What changes to the parameters would you suggest to improve performance?Keep the epoch * pop_size constant.</t>
  </si>
  <si>
    <t>I'm solving a GCP of 36 290 (edges and nodes) with the use of PSO. I used parameter values previously suggested by you: epoch=1000.0 , pop_size=50.0 , c1=1.5 , c2=1.5 , w=0.7 . I did run it 30 times and averaged the results. I got global minimum of 0.73 with std of 0.01. The solution at last epoch had avg fitness of 0.73 with std of 0.04. What changes to the parameters would you suggest to improve performance?Keep the epoch * pop_size constant.</t>
  </si>
  <si>
    <t>I'm solving a GCP of 49 476 (edges and nodes) with the use of PSO. I used parameter values previously suggested by you: epoch=1000.0 , pop_size=200.0 , c1=1.5 , c2=1.5 , w=0.7 . I did run it 30 times and averaged the results. I got global minimum of 0.75 with std of 0.01. The solution at last epoch had avg fitness of 0.75 with std of 0.03. What changes to the parameters would you suggest to improve performance?Keep the epoch * pop_size constant.</t>
  </si>
  <si>
    <t>I'm solving a GCP of 64 728 (edges and nodes) with the use of PSO. I used parameter values previously suggested by you: epoch=1000.0 , pop_size=100.0 , c1=1.5 , c2=1.5 , w=0.7 . I did run it 30 times and averaged the results. I got global minimum of 0.8 with std of 0.01. The solution at last epoch had avg fitness of 0.8 with std of 0.03. What changes to the parameters would you suggest to improve performance?Keep the epoch * pop_size constant.</t>
  </si>
  <si>
    <t>I'm solving a GCP of 81 2112 (edges and nodes) with the use of PSO. I used parameter values previously suggested by you: epoch=5000.0 , pop_size=150.0 , c1=1.5 , c2=1.5 , w=0.7 . I did run it 30 times and averaged the results. I got global minimum of 0.82 with std of 0.01. The solution at last epoch had avg fitness of 0.82 with std of 0.02. What changes to the parameters would you suggest to improve performance?Keep the epoch * pop_size constant.</t>
  </si>
  <si>
    <t>I'm solving a GCP of 11 20 (edges and nodes) with the use of PSO. I used parameter values previously suggested by you: epoch=1000.0 , pop_size=30.0 , c1=2.0 , c2=2.0 , w=0.5 . I did run it 30 times and averaged the results. I got global minimum of 0.12 with std of 0.06. The solution at last epoch had avg fitness of 0.12 with std of 0.04. What changes to the parameters would you suggest to improve performance?Keep the epoch * pop_size constant.</t>
  </si>
  <si>
    <t>I'm solving a GCP of 23 71 (edges and nodes) with the use of PSO. I used parameter values previously suggested by you: epoch=10000.0 , pop_size=50.0 , c1=1.5 , c2=1.5 , w=0.7 . I did run it 30 times and averaged the results. I got global minimum of 0.58 with std of 0.01. The solution at last epoch had avg fitness of 0.58 with std of 0.06. What changes to the parameters would you suggest to improve performance?Keep the epoch * pop_size constant.</t>
  </si>
  <si>
    <t>I'm solving a GCP of 47 236 (edges and nodes) with the use of PSO. I used parameter values previously suggested by you: epoch=1000.0 , pop_size=50.0 , c1=1.5 , c2=1.5 , w=0.7 . I did run it 30 times and averaged the results. I got global minimum of 0.77 with std of 0.02. The solution at last epoch had avg fitness of 0.77 with std of 0.04. What changes to the parameters would you suggest to improve performance?Keep the epoch * pop_size constant.</t>
  </si>
  <si>
    <t>I'm solving a GCP of 95 755 (edges and nodes) with the use of PSO. I used parameter values previously suggested by you: epoch=50000.0 , pop_size=50.0 , c1=1.5 , c2=1.5 , w=0.7 . I did run it 30 times and averaged the results. I got global minimum of 0.86 with std of 0.0. The solution at last epoch had avg fitness of 0.86 with std of 0.02. What changes to the parameters would you suggest to improve performance?Keep the epoch * pop_size constant.</t>
  </si>
  <si>
    <t>I'm solving a GCP of 191 2360 (edges and nodes) with the use of PSO. I used parameter values previously suggested by you: epoch=10000.0 , pop_size=100.0 , c1=2.0 , c2=2.0 , w=0.7 . I did run it 30 times and averaged the results. I got global minimum of 0.93 with std of 0.0. The solution at last epoch had avg fitness of 0.93 with std of 0.01. What changes to the parameters would you suggest to improve performance?Keep the epoch * pop_size constant.</t>
  </si>
  <si>
    <t>I'm solving a GCP of 25 160 (edges and nodes) with the use of PSO. I used parameter values previously suggested by you: epoch=500.0 , pop_size=50.0 , c1=1.5 , c2=1.5 , w=0.8 . I did run it 30 times and averaged the results. I got global minimum of 0.66 with std of 0.02. The solution at last epoch had avg fitness of 0.66 with std of 0.03. What changes to the parameters would you suggest to improve performance?Keep the epoch * pop_size constant.</t>
  </si>
  <si>
    <t>I'm solving a GCP of 36 290 (edges and nodes) with the use of PSO. I used parameter values previously suggested by you: epoch=1000.0 , pop_size=50.0 , c1=2.0 , c2=2.0 , w=0.7 . I did run it 30 times and averaged the results. I got global minimum of 0.74 with std of 0.02. The solution at last epoch had avg fitness of 0.74 with std of 0.04. What changes to the parameters would you suggest to improve performance?Keep the epoch * pop_size constant.</t>
  </si>
  <si>
    <t>I'm solving a GCP of 49 476 (edges and nodes) with the use of PSO. I used parameter values previously suggested by you: epoch=1000.0 , pop_size=50.0 , c1=1.5 , c2=1.5 , w=0.7 . I did run it 30 times and averaged the results. I got global minimum of 0.78 with std of 0.01. The solution at last epoch had avg fitness of 0.78 with std of 0.03. What changes to the parameters would you suggest to improve performance?Keep the epoch * pop_size constant.</t>
  </si>
  <si>
    <t>I'm solving a GCP of 64 728 (edges and nodes) with the use of PSO. I used parameter values previously suggested by you: epoch=10000.0 , pop_size=50.0 , c1=1.5 , c2=1.5 , w=0.7 . I did run it 30 times and averaged the results. I got global minimum of 0.8 with std of 0.01. The solution at last epoch had avg fitness of 0.8 with std of 0.03. What changes to the parameters would you suggest to improve performance?Keep the epoch * pop_size constant.</t>
  </si>
  <si>
    <t>I'm solving a GCP of 81 2112 (edges and nodes) with the use of PSO. I used parameter values previously suggested by you: epoch=5000.0 , pop_size=50.0 , c1=1.5 , c2=1.5 , w=0.5 . I did run it 30 times and averaged the results. I got global minimum of 0.78 with std of 0.01. The solution at last epoch had avg fitness of 0.78 with std of 0.03. What changes to the parameters would you suggest to improve performance?Keep the epoch * pop_size constant.</t>
  </si>
  <si>
    <t>I'm solving a GCP of 11 20 (edges and nodes) with the use of PSO. I used parameter values previously suggested by you: epoch=200.0 , pop_size=50.0 , c1=1.5 , c2=1.5 , w=0.7 . I did run it 30 times and averaged the results. I got global minimum of 0.28 with std of 0.06. The solution at last epoch had avg fitness of 0.28 with std of 0.07. What changes to the parameters would you suggest to improve performance?Keep the epoch * pop_size constant.</t>
  </si>
  <si>
    <t>I'm solving a GCP of 23 71 (edges and nodes) with the use of PSO. I used parameter values previously suggested by you: epoch=200.0 , pop_size=50.0 , c1=1.5 , c2=1.5 , w=0.7 . I did run it 30 times and averaged the results. I got global minimum of 0.61 with std of 0.03. The solution at last epoch had avg fitness of 0.61 with std of 0.04. What changes to the parameters would you suggest to improve performance?Keep the epoch * pop_size constant.</t>
  </si>
  <si>
    <t>I'm solving a GCP of 47 236 (edges and nodes) with the use of PSO. I used parameter values previously suggested by you: epoch=200.0 , pop_size=50.0 , c1=1.5 , c2=1.5 , w=0.7 . I did run it 30 times and averaged the results. I got global minimum of 0.78 with std of 0.02. The solution at last epoch had avg fitness of 0.78 with std of 0.03. What changes to the parameters would you suggest to improve performance?Keep the epoch * pop_size constant.</t>
  </si>
  <si>
    <t>I'm solving a GCP of 95 755 (edges and nodes) with the use of PSO. I used parameter values previously suggested by you: epoch=200.0 , pop_size=50.0 , c1=1.5 , c2=2.0 , w=0.7 . I did run it 30 times and averaged the results. I got global minimum of 0.9 with std of 0.01. The solution at last epoch had avg fitness of 0.9 with std of 0.01. What changes to the parameters would you suggest to improve performance?Keep the epoch * pop_size constant.</t>
  </si>
  <si>
    <t>I'm solving a GCP of 191 2360 (edges and nodes) with the use of PSO. I used parameter values previously suggested by you: epoch=100.0 , pop_size=50.0 , c1=1.5 , c2=1.5 , w=0.7 . I did run it 30 times and averaged the results. I got global minimum of 0.93 with std of 0.01. The solution at last epoch had avg fitness of 0.93 with std of 0.02. What changes to the parameters would you suggest to improve performance?Keep the epoch * pop_size constant.</t>
  </si>
  <si>
    <t>I'm solving a GCP of 25 160 (edges and nodes) with the use of PSO. I used parameter values previously suggested by you: epoch=100.0 , pop_size=50.0 , c1=2.0 , c2=2.0 , w=0.7 . I did run it 30 times and averaged the results. I got global minimum of 0.7 with std of 0.02. The solution at last epoch had avg fitness of 0.7 with std of 0.04. What changes to the parameters would you suggest to improve performance?Keep the epoch * pop_size constant.</t>
  </si>
  <si>
    <t>I'm solving a GCP of 36 290 (edges and nodes) with the use of PSO. I used parameter values previously suggested by you: epoch=200.0 , pop_size=50.0 , c1=2.0 , c2=2.0 , w=0.9 . I did run it 30 times and averaged the results. I got global minimum of 0.77 with std of 0.02. The solution at last epoch had avg fitness of 0.77 with std of 0.03. What changes to the parameters would you suggest to improve performance?Keep the epoch * pop_size constant.</t>
  </si>
  <si>
    <t>I'm solving a GCP of 49 476 (edges and nodes) with the use of PSO. I used parameter values previously suggested by you: epoch=200.0 , pop_size=50.0 , c1=1.5 , c2=2.0 , w=0.7 . I did run it 30 times and averaged the results. I got global minimum of 0.82 with std of 0.01. The solution at last epoch had avg fitness of 0.82 with std of 0.02. What changes to the parameters would you suggest to improve performance?Keep the epoch * pop_size constant.</t>
  </si>
  <si>
    <t>I'm solving a GCP of 64 728 (edges and nodes) with the use of PSO. I used parameter values previously suggested by you: epoch=200.0 , pop_size=50.0 , c1=1.5 , c2=1.5 , w=0.7 . I did run it 30 times and averaged the results. I got global minimum of 0.82 with std of 0.02. The solution at last epoch had avg fitness of 0.82 with std of 0.03. What changes to the parameters would you suggest to improve performance?Keep the epoch * pop_size constant.</t>
  </si>
  <si>
    <t>I'm solving a GCP of 81 2112 (edges and nodes) with the use of PSO. I used parameter values previously suggested by you: epoch=200.0 , pop_size=50.0 , c1=2.0 , c2=2.0 , w=0.7 . I did run it 30 times and averaged the results. I got global minimum of 0.88 with std of 0.01. The solution at last epoch had avg fitness of 0.88 with std of 0.02. What changes to the parameters would you suggest to improve performance?Keep the epoch * pop_size constant.</t>
  </si>
  <si>
    <t>I'm solving a GCP of 11 20 (edges and nodes) with the use of PSO. I used parameter values previously suggested by you: epoch=500.0 , pop_size=50.0 , c1=1.5 , c2=1.5 , w=0.7 . I did run it 30 times and averaged the results. I got global minimum of 0.25 with std of 0.05. The solution at last epoch had avg fitness of 0.25 with std of 0.05. What changes to the parameters would you suggest to improve performance?Keep the epoch * pop_size constant.</t>
  </si>
  <si>
    <t>I'm solving a GCP of 23 71 (edges and nodes) with the use of PSO. I used parameter values previously suggested by you: epoch=1000.0 , pop_size=50.0 , c1=1.5 , c2=1.5 , w=0.7 . I did run it 30 times and averaged the results. I got global minimum of 0.6 with std of 0.02. The solution at last epoch had avg fitness of 0.6 with std of 0.05. What changes to the parameters would you suggest to improve performance?Keep the epoch * pop_size constant.</t>
  </si>
  <si>
    <t>I'm solving a GCP of 47 236 (edges and nodes) with the use of PSO. I used parameter values previously suggested by you: epoch=1000.0 , pop_size=50.0 , c1=1.5 , c2=1.5 , w=0.7 . I did run it 30 times and averaged the results. I got global minimum of 0.77 with std of 0.01. The solution at last epoch had avg fitness of 0.77 with std of 0.03. What changes to the parameters would you suggest to improve performance?Keep the epoch * pop_size constant.</t>
  </si>
  <si>
    <t>I'm solving a GCP of 95 755 (edges and nodes) with the use of PSO. I used parameter values previously suggested by you: epoch=1000.0 , pop_size=50.0 , c1=1.5 , c2=1.5 , w=0.7 . I did run it 30 times and averaged the results. I got global minimum of 0.87 with std of 0.01. The solution at last epoch had avg fitness of 0.87 with std of 0.02. What changes to the parameters would you suggest to improve performance?Keep the epoch * pop_size constant.</t>
  </si>
  <si>
    <t>I'm solving a GCP of 191 2360 (edges and nodes) with the use of PSO. I used parameter values previously suggested by you: epoch=1000.0 , pop_size=50.0 , c1=1.5 , c2=1.5 , w=0.7 . I did run it 30 times and averaged the results. I got global minimum of 0.92 with std of 0.0. The solution at last epoch had avg fitness of 0.92 with std of 0.02. What changes to the parameters would you suggest to improve performance?Keep the epoch * pop_size constant.</t>
  </si>
  <si>
    <t>I'm solving a GCP of 25 160 (edges and nodes) with the use of PSO. I used parameter values previously suggested by you: epoch=5000.0 , pop_size=50.0 , c1=1.5 , c2=1.5 , w=0.7 . I did run it 30 times and averaged the results. I got global minimum of 0.63 with std of 0.01. The solution at last epoch had avg fitness of 0.63 with std of 0.04. What changes to the parameters would you suggest to improve performance?Keep the epoch * pop_size constant.</t>
  </si>
  <si>
    <t>I'm solving a GCP of 36 290 (edges and nodes) with the use of PSO. I used parameter values previously suggested by you: epoch=5000.0 , pop_size=50.0 , c1=1.5 , c2=1.5 , w=0.7 . I did run it 30 times and averaged the results. I got global minimum of 0.7 with std of 0.01. The solution at last epoch had avg fitness of 0.7 with std of 0.04. What changes to the parameters would you suggest to improve performance?Keep the epoch * pop_size constant.</t>
  </si>
  <si>
    <t>I'm solving a GCP of 49 476 (edges and nodes) with the use of PSO. I used parameter values previously suggested by you: epoch=2000.0 , pop_size=50.0 , c1=2.0 , c2=2.0 , w=0.7 . I did run it 30 times and averaged the results. I got global minimum of 0.79 with std of 0.01. The solution at last epoch had avg fitness of 0.79 with std of 0.03. What changes to the parameters would you suggest to improve performance?Keep the epoch * pop_size constant.</t>
  </si>
  <si>
    <t>I'm solving a GCP of 64 728 (edges and nodes) with the use of PSO. I used parameter values previously suggested by you: epoch=1000.0 , pop_size=100.0 , c1=1.5 , c2=1.5 , w=0.7 . I did run it 30 times and averaged the results. I got global minimum of 0.8 with std of 0.01. The solution at last epoch had avg fitness of 0.8 with std of 0.02. What changes to the parameters would you suggest to improve performance?Keep the epoch * pop_size constant.</t>
  </si>
  <si>
    <t>I'm solving a GCP of 81 2112 (edges and nodes) with the use of PSO. I used parameter values previously suggested by you: epoch=1000.0 , pop_size=50.0 , c1=1.5 , c2=1.5 , w=0.7 . I did run it 30 times and averaged the results. I got global minimum of 0.85 with std of 0.01. The solution at last epoch had avg fitness of 0.85 with std of 0.02. What changes to the parameters would you suggest to improve performance?Keep the epoch * pop_size constant.</t>
  </si>
  <si>
    <t>I'm solving a GCP of 11 20 (edges and nodes) with the use of GA. I used parameter values previously suggested by you: epoch=5000.0 , pop_size=100.0 , pc=0.85 , pm=0.1 , selection=tournament , crossover=uniform , mutation_multipoints=True , mutation=swap . I did run it 30 times and averaged the results. I got global minimum of 0.38 with std of 0.01. The solution at last epoch had avg fitness of 0.39 with std of 0.04. What changes to the parameters would you suggest to improve performance?Keep the epoch * pop_size constant.</t>
  </si>
  <si>
    <t>I'm solving a GCP of 23 71 (edges and nodes) with the use of GA. I used parameter values previously suggested by you: epoch=500.0 , pop_size=50.0 , pc=0.8 , pm=0.1 , selection=tournament , crossover=uniform , mutation_multipoints=True , mutation=swap . I did run it 30 times and averaged the results. I got global minimum of 0.47 with std of 0.08. The solution at last epoch had avg fitness of 0.89 with std of 1.07. What changes to the parameters would you suggest to improve performance?Keep the epoch * pop_size constant.</t>
  </si>
  <si>
    <t>I'm solving a GCP of 47 236 (edges and nodes) with the use of GA. I used parameter values previously suggested by you: epoch=500.0 , pop_size=100.0 , pc=0.8 , pm=0.15 , selection=tournament , crossover=uniform , mutation_multipoints=True , mutation=swap . I did run it 30 times and averaged the results. I got global minimum of 0.66 with std of 0.06. The solution at last epoch had avg fitness of 0.67 with std of 0.12. What changes to the parameters would you suggest to improve performance?Keep the epoch * pop_size constant.</t>
  </si>
  <si>
    <t>I'm solving a GCP of 95 755 (edges and nodes) with the use of GA. I used parameter values previously suggested by you: epoch=5000.0 , pop_size=100.0 , pc=0.9 , pm=0.05 , selection=tournament , crossover=uniform , mutation_multipoints=True , mutation=swap . I did run it 30 times and averaged the results. I got global minimum of 0.74 with std of 0.05. The solution at last epoch had avg fitness of 1.3 with std of 1.43. What changes to the parameters would you suggest to improve performance?Keep the epoch * pop_size constant.</t>
  </si>
  <si>
    <t>I'm solving a GCP of 191 2360 (edges and nodes) with the use of GA. I used parameter values previously suggested by you: epoch=1000.0 , pop_size=100.0 , pc=0.9 , pm=0.1 , selection=tournament , crossover=uniform , mutation_multipoints=True , mutation=swap . I did run it 30 times and averaged the results. I got global minimum of 0.91 with std of 0.27. The solution at last epoch had avg fitness of 1.04 with std of 0.53. What changes to the parameters would you suggest to improve performance?Keep the epoch * pop_size constant.</t>
  </si>
  <si>
    <t>I'm solving a GCP of 25 160 (edges and nodes) with the use of GA. I used parameter values previously suggested by you: epoch=5000.0 , pop_size=50.0 , pc=0.8 , pm=0.2 , selection=tournament , crossover=uniform , mutation_multipoints=True , mutation=swap . I did run it 30 times and averaged the results. I got global minimum of 0.61 with std of 0.06. The solution at last epoch had avg fitness of 4.55 with std of 2.31. What changes to the parameters would you suggest to improve performance?Keep the epoch * pop_size constant.</t>
  </si>
  <si>
    <t>I'm solving a GCP of 36 290 (edges and nodes) with the use of GA. I used parameter values previously suggested by you: epoch=10000.0 , pop_size=100.0 , pc=0.8 , pm=0.05 , selection=tournament , crossover=uniform , mutation_multipoints=True , mutation=swap . I did run it 30 times and averaged the results. I got global minimum of 0.49 with std of 0.07. The solution at last epoch had avg fitness of 3.81 with std of 3.0. What changes to the parameters would you suggest to improve performance?Keep the epoch * pop_size constant.</t>
  </si>
  <si>
    <t>I'm solving a GCP of 49 476 (edges and nodes) with the use of GA. I used parameter values previously suggested by you: epoch=10000.0 , pop_size=100.0 , pc=0.9 , pm=0.1 , selection=tournament , crossover=uniform , mutation_multipoints=True , mutation=swap . I did run it 30 times and averaged the results. I got global minimum of 0.56 with std of 0.08. The solution at last epoch had avg fitness of 4.82 with std of 2.67. What changes to the parameters would you suggest to improve performance?Keep the epoch * pop_size constant.</t>
  </si>
  <si>
    <t>I'm solving a GCP of 64 728 (edges and nodes) with the use of GA. I used parameter values previously suggested by you: epoch=10000.0 , pop_size=100.0 , pc=0.8 , pm=0.1 , selection=tournament , crossover=uniform , mutation_multipoints=True , mutation=swap . I did run it 30 times and averaged the results. I got global minimum of 0.73 with std of 0.09. The solution at last epoch had avg fitness of 5.46 with std of 1.65. What changes to the parameters would you suggest to improve performance?Keep the epoch * pop_size constant.</t>
  </si>
  <si>
    <t>I'm solving a GCP of 81 2112 (edges and nodes) with the use of GA. I used parameter values previously suggested by you: epoch=10000.0 , pop_size=150.0 , pc=0.9 , pm=0.1 , selection=tournament , crossover=uniform , mutation_multipoints=True , mutation=swap . I did run it 30 times and averaged the results. I got global minimum of 0.65 with std of 0.1. The solution at last epoch had avg fitness of 5.53 with std of 1.98. What changes to the parameters would you suggest to improve performance?Keep the epoch * pop_size constant.</t>
  </si>
  <si>
    <t>I'm solving a GCP of 11 20 (edges and nodes) with the use of GA. I used parameter values previously suggested by you: epoch=5000.0 , pop_size=50.0 , pc=0.8 , pm=0.1 , selection=tournament , crossover=uniform , mutation_multipoints=False , mutation=swap . I did run it 30 times and averaged the results. I got global minimum of 0.38 with std of 0.02. The solution at last epoch had avg fitness of 0.49 with std of 0.1. What changes to the parameters would you suggest to improve performance?Keep the epoch * pop_size constant.</t>
  </si>
  <si>
    <t>I'm solving a GCP of 23 71 (edges and nodes) with the use of GA. I used parameter values previously suggested by you: epoch=1000.0 , pop_size=100.0 , pc=0.8 , pm=0.1 , selection=tournament , crossover=one_point , mutation_multipoints=False , mutation=swap . I did run it 30 times and averaged the results. I got global minimum of 0.4 with std of 0.07. The solution at last epoch had avg fitness of 0.52 with std of 0.4. What changes to the parameters would you suggest to improve performance?Keep the epoch * pop_size constant.</t>
  </si>
  <si>
    <t>I'm solving a GCP of 47 236 (edges and nodes) with the use of GA. I used parameter values previously suggested by you: epoch=5000.0 , pop_size=100.0 , pc=0.8 , pm=0.05 , selection=tournament , crossover=uniform , mutation_multipoints=False , mutation=swap . I did run it 30 times and averaged the results. I got global minimum of 0.46 with std of 0.07. The solution at last epoch had avg fitness of 0.57 with std of 0.16. What changes to the parameters would you suggest to improve performance?Keep the epoch * pop_size constant.</t>
  </si>
  <si>
    <t>I'm solving a GCP of 95 755 (edges and nodes) with the use of GA. I used parameter values previously suggested by you: epoch=500.0 , pop_size=100.0 , pc=0.7 , pm=0.1 , selection=tournament , crossover=multi_points , mutation_multipoints=True , mutation=swap . I did run it 30 times and averaged the results. I got global minimum of 0.82 with std of 0.13. The solution at last epoch had avg fitness of 0.83 with std of 0.09. What changes to the parameters would you suggest to improve performance?Keep the epoch * pop_size constant.</t>
  </si>
  <si>
    <t>I'm solving a GCP of 191 2360 (edges and nodes) with the use of GA. I used parameter values previously suggested by you: epoch=1000.0 , pop_size=100.0 , pc=0.8 , pm=0.05 , selection=tournament , crossover=one_point , mutation_multipoints=False , mutation=swap . I did run it 30 times and averaged the results. I got global minimum of 0.89 with std of 0.29. The solution at last epoch had avg fitness of 0.89 with std of 0.05. What changes to the parameters would you suggest to improve performance?Keep the epoch * pop_size constant.</t>
  </si>
  <si>
    <t>I'm solving a GCP of 25 160 (edges and nodes) with the use of GA. I used parameter values previously suggested by you: epoch=50000.0 , pop_size=100.0 , pc=0.8 , pm=0.1 , selection=tournament , crossover=one_point , mutation_multipoints=False , mutation=swap . I did run it 30 times and averaged the results. I got global minimum of 0.47 with std of 0.03. The solution at last epoch had avg fitness of 1.9 with std of 1.61. What changes to the parameters would you suggest to improve performance?Keep the epoch * pop_size constant.</t>
  </si>
  <si>
    <t>I'm solving a GCP of 36 290 (edges and nodes) with the use of GA. I used parameter values previously suggested by you: epoch=1000.0 , pop_size=100.0 , pc=0.8 , pm=0.1 , selection=tournament , crossover=uniform , mutation_multipoints=False , mutation=swap . I did run it 30 times and averaged the results. I got global minimum of 0.68 with std of 0.11. The solution at last epoch had avg fitness of 4.15 with std of 3.27. What changes to the parameters would you suggest to improve performance?Keep the epoch * pop_size constant.</t>
  </si>
  <si>
    <t>I'm solving a GCP of 49 476 (edges and nodes) with the use of GA. I used parameter values previously suggested by you: epoch=1000.0 , pop_size=100.0 , pc=0.8 , pm=0.1 , selection=tournament , crossover=uniform , mutation_multipoints=False , mutation=swap . I did run it 30 times and averaged the results. I got global minimum of 0.79 with std of 0.19. The solution at last epoch had avg fitness of 4.63 with std of 3.71. What changes to the parameters would you suggest to improve performance?Keep the epoch * pop_size constant.</t>
  </si>
  <si>
    <t>I'm solving a GCP of 64 728 (edges and nodes) with the use of GA. I used parameter values previously suggested by you: epoch=5000.0 , pop_size=100.0 , pc=0.8 , pm=0.1 , selection=tournament , crossover=uniform , mutation_multipoints=True , mutation=swap . I did run it 30 times and averaged the results. I got global minimum of 0.74 with std of 0.11. The solution at last epoch had avg fitness of 5.91 with std of 1.89. What changes to the parameters would you suggest to improve performance?Keep the epoch * pop_size constant.</t>
  </si>
  <si>
    <t>I'm solving a GCP of 81 2112 (edges and nodes) with the use of GA. I used parameter values previously suggested by you: epoch=10000.0 , pop_size=100.0 , pc=0.8 , pm=0.1 , selection=tournament , crossover=multi_points , mutation_multipoints=True , mutation=swap . I did run it 30 times and averaged the results. I got global minimum of 0.82 with std of 0.1. The solution at last epoch had avg fitness of 4.87 with std of 0.83. What changes to the parameters would you suggest to improve performance?Keep the epoch * pop_size constant.</t>
  </si>
  <si>
    <t>I'm solving a GCP of 11 20 (edges and nodes) with the use of GA. I used parameter values previously suggested by you: epoch=100.0 , pop_size=50.0 , pc=0.9 , pm=0.1 , selection=tournament , crossover=uniform , mutation_multipoints=True , mutation=swap . I did run it 30 times and averaged the results. I got global minimum of 0.4 with std of 0.1. The solution at last epoch had avg fitness of 0.43 with std of 0.09. What changes to the parameters would you suggest to improve performance?Keep the epoch * pop_size constant.</t>
  </si>
  <si>
    <t>I'm solving a GCP of 23 71 (edges and nodes) with the use of GA. I used parameter values previously suggested by you: epoch=100.0 , pop_size=50.0 , pc=0.9 , pm=0.1 , selection=tournament , crossover=multi_points , mutation_multipoints=True , mutation=swap . I did run it 30 times and averaged the results. I got global minimum of 0.6 with std of 0.08. The solution at last epoch had avg fitness of 0.61 with std of 0.14. What changes to the parameters would you suggest to improve performance?Keep the epoch * pop_size constant.</t>
  </si>
  <si>
    <t>I'm solving a GCP of 47 236 (edges and nodes) with the use of GA. I used parameter values previously suggested by you: epoch=500.0 , pop_size=50.0 , pc=0.9 , pm=0.05 , selection=tournament , crossover=multi_points , mutation_multipoints=True , mutation=swap . I did run it 30 times and averaged the results. I got global minimum of 0.7 with std of 0.08. The solution at last epoch had avg fitness of 1.16 with std of 0.99. What changes to the parameters would you suggest to improve performance?Keep the epoch * pop_size constant.</t>
  </si>
  <si>
    <t>I'm solving a GCP of 95 755 (edges and nodes) with the use of GA. I used parameter values previously suggested by you: epoch=200.0 , pop_size=50.0 , pc=0.9 , pm=0.1 , selection=tournament , crossover=multi_points , mutation_multipoints=True , mutation=swap . I did run it 30 times and averaged the results. I got global minimum of 0.9 with std of 0.29. The solution at last epoch had avg fitness of 1.24 with std of 0.77. What changes to the parameters would you suggest to improve performance?Keep the epoch * pop_size constant.</t>
  </si>
  <si>
    <t>I'm solving a GCP of 191 2360 (edges and nodes) with the use of GA. I used parameter values previously suggested by you: epoch=200.0 , pop_size=50.0 , pc=0.9 , pm=0.05 , selection=tournament , crossover=uniform , mutation_multipoints=True , mutation=swap . I did run it 30 times and averaged the results. I got global minimum of 0.96 with std of 0.79. The solution at last epoch had avg fitness of 1.02 with std of 0.37. What changes to the parameters would you suggest to improve performance?Keep the epoch * pop_size constant.</t>
  </si>
  <si>
    <t>I'm solving a GCP of 25 160 (edges and nodes) with the use of GA. I used parameter values previously suggested by you: epoch=500.0 , pop_size=50.0 , pc=0.9 , pm=0.1 , selection=tournament , crossover=multi_points , mutation_multipoints=True , mutation=swap . I did run it 30 times and averaged the results. I got global minimum of 0.67 with std of 0.14. The solution at last epoch had avg fitness of 3.02 with std of 2.01. What changes to the parameters would you suggest to improve performance?Keep the epoch * pop_size constant.</t>
  </si>
  <si>
    <t>I'm solving a GCP of 36 290 (edges and nodes) with the use of GA. I used parameter values previously suggested by you: epoch=500.0 , pop_size=50.0 , pc=0.85 , pm=0.05 , selection=tournament , crossover=multi_points , mutation_multipoints=True , mutation=swap . I did run it 30 times and averaged the results. I got global minimum of 0.78 with std of 0.22. The solution at last epoch had avg fitness of 4.15 with std of 1.45. What changes to the parameters would you suggest to improve performance?Keep the epoch * pop_size constant.</t>
  </si>
  <si>
    <t>I'm solving a GCP of 49 476 (edges and nodes) with the use of GA. I used parameter values previously suggested by you: epoch=200.0 , pop_size=50.0 , pc=0.9 , pm=0.1 , selection=tournament , crossover=multi_points , mutation_multipoints=True , mutation=swap . I did run it 30 times and averaged the results. I got global minimum of 0.86 with std of 0.5. The solution at last epoch had avg fitness of 2.42 with std of 1.74. What changes to the parameters would you suggest to improve performance?Keep the epoch * pop_size constant.</t>
  </si>
  <si>
    <t>I'm solving a GCP of 64 728 (edges and nodes) with the use of GA. I used parameter values previously suggested by you: epoch=200.0 , pop_size=50.0 , pc=0.9 , pm=0.1 , selection=tournament , crossover=multi_points , mutation_multipoints=True , mutation=swap . I did run it 30 times and averaged the results. I got global minimum of 0.91 with std of 0.71. The solution at last epoch had avg fitness of 2.2 with std of 1.45. What changes to the parameters would you suggest to improve performance?Keep the epoch * pop_size constant.</t>
  </si>
  <si>
    <t>I'm solving a GCP of 81 2112 (edges and nodes) with the use of GA. I used parameter values previously suggested by you: epoch=500.0 , pop_size=100.0 , pc=0.85 , pm=0.05 , selection=tournament , crossover=multi_points , mutation_multipoints=True , mutation=swap . I did run it 30 times and averaged the results. I got global minimum of 0.85 with std of 0.43. The solution at last epoch had avg fitness of 1.06 with std of 0.83. What changes to the parameters would you suggest to improve performance?Keep the epoch * pop_size constant.</t>
  </si>
  <si>
    <t>I'm solving a GCP of 11 20 (edges and nodes) with the use of GA. I used parameter values previously suggested by you: epoch=1000.0 , pop_size=50.0 , pc=0.8 , pm=0.1 , selection=tournament , crossover=uniform , mutation_multipoints=False , mutation=swap . I did run it 30 times and averaged the results. I got global minimum of 0.38 with std of 0.05. The solution at last epoch had avg fitness of 0.53 with std of 0.36. What changes to the parameters would you suggest to improve performance?Keep the epoch * pop_size constant.</t>
  </si>
  <si>
    <t>I'm solving a GCP of 23 71 (edges and nodes) with the use of GA. I used parameter values previously suggested by you: epoch=10000.0 , pop_size=100.0 , pc=0.8 , pm=0.1 , selection=tournament , crossover=uniform , mutation_multipoints=True , mutation=swap . I did run it 30 times and averaged the results. I got global minimum of 0.42 with std of 0.02. The solution at last epoch had avg fitness of 0.42 with std of 0.12. What changes to the parameters would you suggest to improve performance?Keep the epoch * pop_size constant.</t>
  </si>
  <si>
    <t>I'm solving a GCP of 47 236 (edges and nodes) with the use of GA. I used parameter values previously suggested by you: epoch=5000.0 , pop_size=100.0 , pc=0.9 , pm=0.1 , selection=tournament , crossover=uniform , mutation_multipoints=True , mutation=swap . I did run it 30 times and averaged the results. I got global minimum of 0.57 with std of 0.03. The solution at last epoch had avg fitness of 0.57 with std of 0.13. What changes to the parameters would you suggest to improve performance?Keep the epoch * pop_size constant.</t>
  </si>
  <si>
    <t>I'm solving a GCP of 95 755 (edges and nodes) with the use of GA. I used parameter values previously suggested by you: epoch=10000.0 , pop_size=100.0 , pc=0.9 , pm=0.1 , selection=tournament , crossover=uniform , mutation_multipoints=True , mutation=swap . I did run it 30 times and averaged the results. I got global minimum of 0.73 with std of 0.04. The solution at last epoch had avg fitness of 1.83 with std of 1.85. What changes to the parameters would you suggest to improve performance?Keep the epoch * pop_size constant.</t>
  </si>
  <si>
    <t>I'm solving a GCP of 191 2360 (edges and nodes) with the use of GA. I used parameter values previously suggested by you: epoch=5000.0 , pop_size=100.0 , pc=0.8 , pm=0.1 , selection=tournament , crossover=uniform , mutation_multipoints=True , mutation=swap . I did run it 30 times and averaged the results. I got global minimum of 0.89 with std of 0.13. The solution at last epoch had avg fitness of 4.15 with std of 0.97. What changes to the parameters would you suggest to improve performance?Keep the epoch * pop_size constant.</t>
  </si>
  <si>
    <t>I'm solving a GCP of 25 160 (edges and nodes) with the use of GA. I used parameter values previously suggested by you: epoch=1000.0 , pop_size=100.0 , pc=0.8 , pm=0.1 , selection=tournament , crossover=one_point , mutation_multipoints=True , mutation=swap . I did run it 30 times and averaged the results. I got global minimum of 0.48 with std of 0.11. The solution at last epoch had avg fitness of 0.72 with std of 0.5. What changes to the parameters would you suggest to improve performance?Keep the epoch * pop_size constant.</t>
  </si>
  <si>
    <t>I'm solving a GCP of 36 290 (edges and nodes) with the use of GA. I used parameter values previously suggested by you: epoch=1000.0 , pop_size=100.0 , pc=0.8 , pm=0.1 , selection=tournament , crossover=uniform , mutation_multipoints=True , mutation=swap . I did run it 30 times and averaged the results. I got global minimum of 0.59 with std of 0.13. The solution at last epoch had avg fitness of 1.73 with std of 1.65. What changes to the parameters would you suggest to improve performance?Keep the epoch * pop_size constant.</t>
  </si>
  <si>
    <t>I'm solving a GCP of 49 476 (edges and nodes) with the use of GA. I used parameter values previously suggested by you: epoch=100000.0 , pop_size=100.0 , pc=0.9 , pm=0.1 , selection=tournament , crossover=multi_points , mutation_multipoints=True , mutation=swap . I did run it 30 times and averaged the results. I got global minimum of 0.52 with std of 0.04. The solution at last epoch had avg fitness of 4.39 with std of 1.5. What changes to the parameters would you suggest to improve performance?Keep the epoch * pop_size constant.</t>
  </si>
  <si>
    <t>I'm solving a GCP of 64 728 (edges and nodes) with the use of GA. I used parameter values previously suggested by you: epoch=1000.0 , pop_size=100.0 , pc=0.8 , pm=0.1 , selection=tournament , crossover=uniform , mutation_multipoints=True , mutation=swap . I did run it 30 times and averaged the results. I got global minimum of 0.76 with std of 0.26. The solution at last epoch had avg fitness of 3.72 with std of 2.6. What changes to the parameters would you suggest to improve performance?Keep the epoch * pop_size constant.</t>
  </si>
  <si>
    <t>I'm solving a GCP of 81 2112 (edges and nodes) with the use of GA. I used parameter values previously suggested by you: epoch=1000.0 , pop_size=100.0 , pc=0.8 , pm=0.1 , selection=tournament , crossover=uniform , mutation_multipoints=True , mutation=swap . I did run it 30 times and averaged the results. I got global minimum of 0.83 with std of 0.34. The solution at last epoch had avg fitness of 4.25 with std of 2.08. What changes to the parameters would you suggest to improve performance?Keep the epoch * pop_size constant.</t>
  </si>
  <si>
    <t>I'm solving a GCP of 11 20 (edges and nodes) with the use of SA. I used parameter values previously suggested by you: epoch=5000.0 , pop_size=20.0 , temp_init=100.0 , step_size=1.0 . I did run it 30 times and averaged the results. I got global minimum of 0.0 with std of 0.28. The solution at last epoch had avg fitness of 0.0 with std of 0.0. What changes to the parameters would you suggest to improve performance?Keep the epoch * pop_size constant.</t>
  </si>
  <si>
    <t>I'm solving a GCP of 23 71 (edges and nodes) with the use of SA. I used parameter values previously suggested by you: epoch=10000.0 , pop_size=50.0 , temp_init=100.0 , step_size=5.0 . I did run it 30 times and averaged the results. I got global minimum of 0.0 with std of 0.27. The solution at last epoch had avg fitness of 0.0 with std of 0.0. What changes to the parameters would you suggest to improve performance?Keep the epoch * pop_size constant.</t>
  </si>
  <si>
    <t>I'm solving a GCP of 47 236 (edges and nodes) with the use of SA. I used parameter values previously suggested by you: epoch=10000.0 , pop_size=50.0 , temp_init=1000.0 , step_size=5.0 . I did run it 30 times and averaged the results. I got global minimum of 0.6 with std of 0.1. The solution at last epoch had avg fitness of 0.6 with std of 0.49. What changes to the parameters would you suggest to improve performance?Keep the epoch * pop_size constant.</t>
  </si>
  <si>
    <t>I'm solving a GCP of 95 755 (edges and nodes) with the use of SA. I used parameter values previously suggested by you: epoch=10000.0 , pop_size=50.0 , temp_init=1000.0 , step_size=5.0 . I did run it 30 times and averaged the results. I got global minimum of 1.03 with std of 0.0. The solution at last epoch had avg fitness of 1.03 with std of 0.04. What changes to the parameters would you suggest to improve performance?Keep the epoch * pop_size constant.</t>
  </si>
  <si>
    <t>I'm solving a GCP of 191 2360 (edges and nodes) with the use of SA. I used parameter values previously suggested by you: epoch=10000.0 , pop_size=50.0 , temp_init=1000.0 , step_size=10.0 . I did run it 30 times and averaged the results. I got global minimum of 1.06 with std of 0.0. The solution at last epoch had avg fitness of 1.06 with std of 0.03. What changes to the parameters would you suggest to improve performance?Keep the epoch * pop_size constant.</t>
  </si>
  <si>
    <t>I'm solving a GCP of 25 160 (edges and nodes) with the use of SA. I used parameter values previously suggested by you: epoch=10000.0 , pop_size=50.0 , temp_init=100.0 , step_size=10.0 . I did run it 30 times and averaged the results. I got global minimum of 0.0 with std of 0.36. The solution at last epoch had avg fitness of 0.0 with std of 0.0. What changes to the parameters would you suggest to improve performance?Keep the epoch * pop_size constant.</t>
  </si>
  <si>
    <t>I'm solving a GCP of 36 290 (edges and nodes) with the use of SA. I used parameter values previously suggested by you: epoch=10000.0 , pop_size=50.0 , temp_init=1000.0 , step_size=10.0 . I did run it 30 times and averaged the results. I got global minimum of 0.0 with std of 0.58. The solution at last epoch had avg fitness of 0.0 with std of 0.0. What changes to the parameters would you suggest to improve performance?Keep the epoch * pop_size constant.</t>
  </si>
  <si>
    <t>I'm solving a GCP of 49 476 (edges and nodes) with the use of SA. I used parameter values previously suggested by you: epoch=5000.0 , pop_size=50.0 , temp_init=1000.0 , step_size=5.0 . I did run it 30 times and averaged the results. I got global minimum of 1.06 with std of 0.0. The solution at last epoch had avg fitness of 1.06 with std of 0.07. What changes to the parameters would you suggest to improve performance?Keep the epoch * pop_size constant.</t>
  </si>
  <si>
    <t>I'm solving a GCP of 64 728 (edges and nodes) with the use of SA. I used parameter values previously suggested by you: epoch=10000.0 , pop_size=50.0 , temp_init=1000.0 , step_size=5.0 . I did run it 30 times and averaged the results. I got global minimum of 1.06 with std of 0.0. The solution at last epoch had avg fitness of 1.06 with std of 0.05. What changes to the parameters would you suggest to improve performance?Keep the epoch * pop_size constant.</t>
  </si>
  <si>
    <t>I'm solving a GCP of 81 2112 (edges and nodes) with the use of SA. I used parameter values previously suggested by you: epoch=10000.0 , pop_size=50.0 , temp_init=1000.0 , step_size=5.0 . I did run it 30 times and averaged the results. I got global minimum of 1.04 with std of 0.0. The solution at last epoch had avg fitness of 1.04 with std of 0.04. What changes to the parameters would you suggest to improve performance?Keep the epoch * pop_size constant.</t>
  </si>
  <si>
    <t>I'm solving a GCP of 11 20 (edges and nodes) with the use of SA. I used parameter values previously suggested by you: epoch=10000.0 , pop_size=50.0 , temp_init=100.0 , step_size=1.0 . I did run it 30 times and averaged the results. I got global minimum of 0.0 with std of 0.21. The solution at last epoch had avg fitness of 0.0 with std of 0.0. What changes to the parameters would you suggest to improve performance?Keep the epoch * pop_size constant.</t>
  </si>
  <si>
    <t>I'm solving a GCP of 23 71 (edges and nodes) with the use of SA. I used parameter values previously suggested by you: epoch=10000.0 , pop_size=50.0 , temp_init=100.0 , step_size=1.0 . I did run it 30 times and averaged the results. I got global minimum of 0.0 with std of 0.38. The solution at last epoch had avg fitness of 0.0 with std of 0.0. What changes to the parameters would you suggest to improve performance?Keep the epoch * pop_size constant.</t>
  </si>
  <si>
    <t>I'm solving a GCP of 47 236 (edges and nodes) with the use of SA. I used parameter values previously suggested by you: epoch=100000.0 , pop_size=50.0 , temp_init=1000.0 , step_size=10.0 . I did run it 30 times and averaged the results. I got global minimum of 0.0 with std of 0.29. The solution at last epoch had avg fitness of 0.0 with std of 0.0. What changes to the parameters would you suggest to improve performance?Keep the epoch * pop_size constant.</t>
  </si>
  <si>
    <t>I'm solving a GCP of 95 755 (edges and nodes) with the use of SA. I used parameter values previously suggested by you: epoch=5000.0 , pop_size=50.0 , temp_init=1000.0 , step_size=10.0 . I did run it 30 times and averaged the results. I got global minimum of 1.13 with std of 0.0. The solution at last epoch had avg fitness of 1.13 with std of 0.06. What changes to the parameters would you suggest to improve performance?Keep the epoch * pop_size constant.</t>
  </si>
  <si>
    <t>I'm solving a GCP of 191 2360 (edges and nodes) with the use of SA. I used parameter values previously suggested by you: epoch=50000.0 , pop_size=50.0 , temp_init=1000.0 , step_size=10.0 . I did run it 30 times and averaged the results. I got global minimum of 0.55 with std of 0.09. The solution at last epoch had avg fitness of 0.55 with std of 0.43. What changes to the parameters would you suggest to improve performance?Keep the epoch * pop_size constant.</t>
  </si>
  <si>
    <t>I'm solving a GCP of 25 160 (edges and nodes) with the use of SA. I used parameter values previously suggested by you: epoch=50000.0 , pop_size=50.0 , temp_init=1000.0 , step_size=1.0 . I did run it 30 times and averaged the results. I got global minimum of 0.0 with std of 0.37. The solution at last epoch had avg fitness of 0.0 with std of 0.0. What changes to the parameters would you suggest to improve performance?Keep the epoch * pop_size constant.</t>
  </si>
  <si>
    <t>I'm solving a GCP of 36 290 (edges and nodes) with the use of SA. I used parameter values previously suggested by you: epoch=10000.0 , pop_size=50.0 , temp_init=1000.0 , step_size=5.0 . I did run it 30 times and averaged the results. I got global minimum of 0.04 with std of 0.34. The solution at last epoch had avg fitness of 0.04 with std of 0.18. What changes to the parameters would you suggest to improve performance?Keep the epoch * pop_size constant.</t>
  </si>
  <si>
    <t>I'm solving a GCP of 49 476 (edges and nodes) with the use of SA. I used parameter values previously suggested by you: epoch=50000.0 , pop_size=50.0 , temp_init=1000.0 , step_size=5.0 . I did run it 30 times and averaged the results. I got global minimum of 0.0 with std of 0.42. The solution at last epoch had avg fitness of 0.0 with std of 0.0. What changes to the parameters would you suggest to improve performance?Keep the epoch * pop_size constant.</t>
  </si>
  <si>
    <t>I'm solving a GCP of 64 728 (edges and nodes) with the use of SA. I used parameter values previously suggested by you: epoch=10000.0 , pop_size=50.0 , temp_init=100.0 , step_size=1.0 . I did run it 30 times and averaged the results. I got global minimum of 0.67 with std of 0.08. The solution at last epoch had avg fitness of 0.67 with std of 0.22. What changes to the parameters would you suggest to improve performance?Keep the epoch * pop_size constant.</t>
  </si>
  <si>
    <t>I'm solving a GCP of 81 2112 (edges and nodes) with the use of SA. I used parameter values previously suggested by you: epoch=50000.0 , pop_size=50.0 , temp_init=1000.0 , step_size=5.0 . I did run it 30 times and averaged the results. I got global minimum of 0.0 with std of 0.49. The solution at last epoch had avg fitness of 0.0 with std of 0.0. What changes to the parameters would you suggest to improve performance?Keep the epoch * pop_size constant.</t>
  </si>
  <si>
    <t>I'm solving a GCP of 11 20 (edges and nodes) with the use of SA. I used parameter values previously suggested by you: epoch=500.0 , pop_size=10.0 , temp_init=100.0 , step_size=5.0 . I did run it 30 times and averaged the results. I got global minimum of 0.07 with std of 0.3. The solution at last epoch had avg fitness of 0.07 with std of 0.25. What changes to the parameters would you suggest to improve performance?Keep the epoch * pop_size constant.</t>
  </si>
  <si>
    <t>I'm solving a GCP of 23 71 (edges and nodes) with the use of SA. I used parameter values previously suggested by you: epoch=500.0 , pop_size=23.0 , temp_init=100.0 , step_size=5.0 . I did run it 30 times and averaged the results. I got global minimum of 1.02 with std of 0.0. The solution at last epoch had avg fitness of 1.02 with std of 0.12. What changes to the parameters would you suggest to improve performance?Keep the epoch * pop_size constant.</t>
  </si>
  <si>
    <t>I'm solving a GCP of 47 236 (edges and nodes) with the use of SA. I used parameter values previously suggested by you: epoch=500.0 , pop_size=50.0 , temp_init=100.0 , step_size=5.0 . I did run it 30 times and averaged the results. I got global minimum of 1.05 with std of 0.0. The solution at last epoch had avg fitness of 1.05 with std of 0.08. What changes to the parameters would you suggest to improve performance?Keep the epoch * pop_size constant.</t>
  </si>
  <si>
    <t>I'm solving a GCP of 95 755 (edges and nodes) with the use of SA. I used parameter values previously suggested by you: epoch=500.0 , pop_size=50.0 , temp_init=100.0 , step_size=10.0 . I did run it 30 times and averaged the results. I got global minimum of 1.1 with std of 0.0. The solution at last epoch had avg fitness of 1.1 with std of 0.06. What changes to the parameters would you suggest to improve performance?Keep the epoch * pop_size constant.</t>
  </si>
  <si>
    <t>I'm solving a GCP of 191 2360 (edges and nodes) with the use of SA. I used parameter values previously suggested by you: epoch=500.0 , pop_size=100.0 , temp_init=1000.0 , step_size=50.0 . I did run it 30 times and averaged the results. I got global minimum of 1.44 with std of 0.0. The solution at last epoch had avg fitness of 1.44 with std of 0.1. What changes to the parameters would you suggest to improve performance?Keep the epoch * pop_size constant.</t>
  </si>
  <si>
    <t>I'm solving a GCP of 25 160 (edges and nodes) with the use of SA. I used parameter values previously suggested by you: epoch=500.0 , pop_size=25.0 , temp_init=100.0 , step_size=5.0 . I did run it 30 times and averaged the results. I got global minimum of 1.15 with std of 0.0. The solution at last epoch had avg fitness of 1.15 with std of 0.13. What changes to the parameters would you suggest to improve performance?Keep the epoch * pop_size constant.</t>
  </si>
  <si>
    <t>I'm solving a GCP of 36 290 (edges and nodes) with the use of SA. I used parameter values previously suggested by you: epoch=500.0 , pop_size=36.0 , temp_init=100.0 , step_size=10.0 . I did run it 30 times and averaged the results. I got global minimum of 1.32 with std of 0.0. The solution at last epoch had avg fitness of 1.32 with std of 0.14. What changes to the parameters would you suggest to improve performance?Keep the epoch * pop_size constant.</t>
  </si>
  <si>
    <t>I'm solving a GCP of 49 476 (edges and nodes) with the use of SA. I used parameter values previously suggested by you: epoch=500.0 , pop_size=50.0 , temp_init=100.0 , step_size=5.0 . I did run it 30 times and averaged the results. I got global minimum of 1.08 with std of 0.0. The solution at last epoch had avg fitness of 1.08 with std of 0.07. What changes to the parameters would you suggest to improve performance?Keep the epoch * pop_size constant.</t>
  </si>
  <si>
    <t>I'm solving a GCP of 64 728 (edges and nodes) with the use of SA. I used parameter values previously suggested by you: epoch=500.0 , pop_size=50.0 , temp_init=100.0 , step_size=10.0 . I did run it 30 times and averaged the results. I got global minimum of 1.17 with std of 0.0. The solution at last epoch had avg fitness of 1.17 with std of 0.08. What changes to the parameters would you suggest to improve performance?Keep the epoch * pop_size constant.</t>
  </si>
  <si>
    <t>I'm solving a GCP of 81 2112 (edges and nodes) with the use of SA. I used parameter values previously suggested by you: epoch=500.0 , pop_size=50.0 , temp_init=100.0 , step_size=10.0 . I did run it 30 times and averaged the results. I got global minimum of 1.12 with std of 0.0. The solution at last epoch had avg fitness of 1.12 with std of 0.07. What changes to the parameters would you suggest to improve performance?Keep the epoch * pop_size constant.</t>
  </si>
  <si>
    <t>I'm solving a GCP of 11 20 (edges and nodes) with the use of SA. I used parameter values previously suggested by you: epoch=5000.0 , pop_size=10.0 , temp_init=1000.0 , step_size=0.9 . I did run it 30 times and averaged the results. I got global minimum of 0.18 with std of 0.23. The solution at last epoch had avg fitness of 0.18 with std of 0.32. What changes to the parameters would you suggest to improve performance?Keep the epoch * pop_size constant.</t>
  </si>
  <si>
    <t>I'm solving a GCP of 23 71 (edges and nodes) with the use of SA. I used parameter values previously suggested by you: epoch=10000.0 , pop_size=50.0 , temp_init=100.0 , step_size=10.0 . I did run it 30 times and averaged the results. I got global minimum of 0.0 with std of 0.25. The solution at last epoch had avg fitness of 0.0 with std of 0.0. What changes to the parameters would you suggest to improve performance?Keep the epoch * pop_size constant.</t>
  </si>
  <si>
    <t>I'm solving a GCP of 47 236 (edges and nodes) with the use of SA. I used parameter values previously suggested by you: epoch=10000.0 , pop_size=10.0 , temp_init=1000.0 , step_size=0.99 . I did run it 30 times and averaged the results. I got global minimum of 0.98 with std of 0.0. The solution at last epoch had avg fitness of 0.98 with std of 0.03. What changes to the parameters would you suggest to improve performance?Keep the epoch * pop_size constant.</t>
  </si>
  <si>
    <t>I'm solving a GCP of 95 755 (edges and nodes) with the use of SA. I used parameter values previously suggested by you: epoch=1000.0 , pop_size=10.0 , temp_init=1000.0 , step_size=10.0 . I did run it 30 times and averaged the results. I got global minimum of 1.12 with std of 0.0. The solution at last epoch had avg fitness of 1.12 with std of 0.06. What changes to the parameters would you suggest to improve performance?Keep the epoch * pop_size constant.</t>
  </si>
  <si>
    <t>I'm solving a GCP of 191 2360 (edges and nodes) with the use of SA. I used parameter values previously suggested by you: epoch=1000.0 , pop_size=50.0 , temp_init=1000.0 , step_size=10.0 . I did run it 30 times and averaged the results. I got global minimum of 1.06 with std of 0.0. The solution at last epoch had avg fitness of 1.06 with std of 0.03. What changes to the parameters would you suggest to improve performance?Keep the epoch * pop_size constant.</t>
  </si>
  <si>
    <t>I'm solving a GCP of 25 160 (edges and nodes) with the use of SA. I used parameter values previously suggested by you: epoch=1000.0 , pop_size=50.0 , temp_init=1000.0 , step_size=10.0 . I did run it 30 times and averaged the results. I got global minimum of 1.43 with std of 0.0. The solution at last epoch had avg fitness of 1.43 with std of 0.22. What changes to the parameters would you suggest to improve performance?Keep the epoch * pop_size constant.</t>
  </si>
  <si>
    <t>I'm solving a GCP of 36 290 (edges and nodes) with the use of SA. I used parameter values previously suggested by you: epoch=10000.0 , pop_size=10.0 , temp_init=1000.0 , step_size=10.0 . I did run it 30 times and averaged the results. I got global minimum of 0.0 with std of 0.57. The solution at last epoch had avg fitness of 0.0 with std of 0.0. What changes to the parameters would you suggest to improve performance?Keep the epoch * pop_size constant.</t>
  </si>
  <si>
    <t>I'm solving a GCP of 49 476 (edges and nodes) with the use of SA. I used parameter values previously suggested by you: epoch=1000.0 , pop_size=50.0 , temp_init=100.0 , step_size=10.0 . I did run it 30 times and averaged the results. I got global minimum of 1.23 with std of 0.0. The solution at last epoch had avg fitness of 1.23 with std of 0.09. What changes to the parameters would you suggest to improve performance?Keep the epoch * pop_size constant.</t>
  </si>
  <si>
    <t>I'm solving a GCP of 64 728 (edges and nodes) with the use of SA. I used parameter values previously suggested by you: epoch=10000.0 , pop_size=100.0 , temp_init=1000.0 , step_size=99.0 . I did run it 30 times and averaged the results. I got global minimum of 0.0 with std of 1.69. The solution at last epoch had avg fitness of 0.0 with std of 0.0. What changes to the parameters would you suggest to improve performance?Keep the epoch * pop_size constant.</t>
  </si>
  <si>
    <t>I'm solving a GCP of 81 2112 (edges and nodes) with the use of SA. I used parameter values previously suggested by you: epoch=10000.0 , pop_size=100.0 , temp_init=1000.0 , step_size=99.0 . I did run it 30 times and averaged the results. I got global minimum of 0.0 with std of 1.71. The solution at last epoch had avg fitness of 0.0 with std of 0.0. What changes to the parameters would you suggest to improve performance?Keep the epoch * pop_size constant.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</si>
</sst>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rgb="FF000000"/>
      <name val="Aptos Narrow"/>
      <family val="2"/>
      <scheme val="minor"/>
    </font>
    <font>
      <sz val="8"/>
      <name val="Aptos Narrow"/>
      <family val="2"/>
      <scheme val="minor"/>
    </font>
    <font>
      <sz val="12"/>
      <color theme="1"/>
      <name val="Aptos Narrow"/>
      <family val="2"/>
      <scheme val="minor"/>
    </font>
    <font>
      <sz val="12"/>
      <color indexed="8"/>
      <name val="Calibri"/>
      <family val="2"/>
      <charset val="238"/>
    </font>
    <font>
      <sz val="12"/>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quotePrefix="1"/>
    <xf numFmtId="0" fontId="1" fillId="0" borderId="0" xfId="0" applyFont="1"/>
    <xf numFmtId="0" fontId="3" fillId="0" borderId="0" xfId="0" applyFont="1"/>
    <xf numFmtId="0" fontId="4" fillId="0" borderId="0" xfId="0" applyFont="1"/>
    <xf numFmtId="3" fontId="0" fillId="0" borderId="0" xfId="0" applyNumberFormat="1"/>
    <xf numFmtId="0" fontId="5" fillId="0" borderId="0" xfId="0" applyFont="1"/>
    <xf numFmtId="0" fontId="6" fillId="0" borderId="0" xfId="0" applyFont="1"/>
    <xf numFmtId="0" fontId="0" fillId="0" borderId="0" xfId="0" applyFont="1"/>
    <xf numFmtId="0" fontId="0" fillId="0" borderId="0" xfId="0" quotePrefix="1" applyFont="1"/>
    <xf numFmtId="0" fontId="0" fillId="0" borderId="0" xfId="0" applyFont="1" applyFill="1"/>
    <xf numFmtId="0" fontId="0" fillId="0" borderId="0" xfId="0" quotePrefix="1" applyFont="1" applyFill="1"/>
    <xf numFmtId="3" fontId="0" fillId="0" borderId="0" xfId="0" applyNumberFormat="1"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CD22B-2080-FB4C-B6E1-A9F1567ACEEE}">
  <dimension ref="A1:O91"/>
  <sheetViews>
    <sheetView tabSelected="1" workbookViewId="0">
      <selection activeCell="E14" sqref="E14"/>
    </sheetView>
  </sheetViews>
  <sheetFormatPr defaultColWidth="11" defaultRowHeight="15.75" x14ac:dyDescent="0.25"/>
  <cols>
    <col min="1" max="12" width="11" style="8"/>
    <col min="13" max="13" width="18.625" style="8" bestFit="1" customWidth="1"/>
    <col min="14" max="16384" width="11" style="8"/>
  </cols>
  <sheetData>
    <row r="1" spans="1:15" x14ac:dyDescent="0.25">
      <c r="A1" s="8" t="s">
        <v>0</v>
      </c>
      <c r="B1" s="8" t="s">
        <v>39</v>
      </c>
      <c r="C1" s="8" t="s">
        <v>1</v>
      </c>
      <c r="D1" s="8" t="s">
        <v>108</v>
      </c>
      <c r="E1" s="8" t="s">
        <v>3</v>
      </c>
      <c r="F1" s="8" t="s">
        <v>37</v>
      </c>
      <c r="G1" s="8" t="s">
        <v>40</v>
      </c>
      <c r="H1" s="8" t="s">
        <v>41</v>
      </c>
      <c r="I1" s="8" t="s">
        <v>42</v>
      </c>
      <c r="J1" s="8" t="s">
        <v>43</v>
      </c>
      <c r="K1" s="8" t="s">
        <v>44</v>
      </c>
      <c r="L1" s="8" t="s">
        <v>45</v>
      </c>
      <c r="M1" s="8" t="s">
        <v>46</v>
      </c>
      <c r="N1" s="8" t="s">
        <v>47</v>
      </c>
      <c r="O1" s="8" t="s">
        <v>106</v>
      </c>
    </row>
    <row r="2" spans="1:15" x14ac:dyDescent="0.25">
      <c r="A2" s="8" t="s">
        <v>80</v>
      </c>
      <c r="B2" s="8" t="s">
        <v>67</v>
      </c>
      <c r="C2" s="8" t="s">
        <v>10</v>
      </c>
      <c r="D2" s="8">
        <v>14</v>
      </c>
      <c r="E2" s="8" t="s">
        <v>107</v>
      </c>
      <c r="F2" s="8" t="s">
        <v>52</v>
      </c>
      <c r="G2" s="8">
        <v>250</v>
      </c>
      <c r="H2" s="8">
        <v>200</v>
      </c>
      <c r="I2" s="8">
        <v>0.9</v>
      </c>
      <c r="J2" s="8">
        <v>7.0000000000000007E-2</v>
      </c>
      <c r="K2" s="8" t="s">
        <v>48</v>
      </c>
      <c r="L2" s="8" t="s">
        <v>49</v>
      </c>
      <c r="M2" s="9" t="s">
        <v>50</v>
      </c>
      <c r="N2" s="8" t="s">
        <v>51</v>
      </c>
      <c r="O2" s="8" t="s">
        <v>201</v>
      </c>
    </row>
    <row r="3" spans="1:15" x14ac:dyDescent="0.25">
      <c r="A3" s="8" t="s">
        <v>80</v>
      </c>
      <c r="B3" s="8" t="s">
        <v>67</v>
      </c>
      <c r="C3" s="8" t="s">
        <v>4</v>
      </c>
      <c r="D3" s="8">
        <v>16</v>
      </c>
      <c r="E3" s="8" t="s">
        <v>107</v>
      </c>
      <c r="F3" s="8" t="s">
        <v>52</v>
      </c>
      <c r="G3" s="8">
        <v>1000</v>
      </c>
      <c r="H3" s="8">
        <v>50</v>
      </c>
      <c r="I3" s="8">
        <v>0.9</v>
      </c>
      <c r="J3" s="8">
        <v>0.15</v>
      </c>
      <c r="K3" s="8" t="s">
        <v>48</v>
      </c>
      <c r="L3" s="8" t="s">
        <v>49</v>
      </c>
      <c r="M3" s="9" t="s">
        <v>50</v>
      </c>
      <c r="N3" s="8" t="s">
        <v>62</v>
      </c>
      <c r="O3" s="8" t="s">
        <v>202</v>
      </c>
    </row>
    <row r="4" spans="1:15" x14ac:dyDescent="0.25">
      <c r="A4" s="8" t="s">
        <v>80</v>
      </c>
      <c r="B4" s="8" t="s">
        <v>67</v>
      </c>
      <c r="C4" s="8" t="s">
        <v>15</v>
      </c>
      <c r="D4" s="8">
        <v>20</v>
      </c>
      <c r="E4" s="8" t="s">
        <v>107</v>
      </c>
      <c r="F4" s="8" t="s">
        <v>52</v>
      </c>
      <c r="G4" s="8">
        <v>400</v>
      </c>
      <c r="H4" s="8">
        <v>50</v>
      </c>
      <c r="I4" s="8">
        <v>0.9</v>
      </c>
      <c r="J4" s="8">
        <v>0.05</v>
      </c>
      <c r="K4" s="8" t="s">
        <v>59</v>
      </c>
      <c r="L4" s="8" t="s">
        <v>49</v>
      </c>
      <c r="M4" s="9" t="s">
        <v>61</v>
      </c>
      <c r="N4" s="8" t="s">
        <v>231</v>
      </c>
      <c r="O4" s="8" t="s">
        <v>203</v>
      </c>
    </row>
    <row r="5" spans="1:15" x14ac:dyDescent="0.25">
      <c r="A5" s="8" t="s">
        <v>80</v>
      </c>
      <c r="B5" s="8" t="s">
        <v>67</v>
      </c>
      <c r="C5" s="8" t="s">
        <v>11</v>
      </c>
      <c r="D5" s="8">
        <v>22</v>
      </c>
      <c r="E5" s="8" t="s">
        <v>107</v>
      </c>
      <c r="F5" s="8" t="s">
        <v>52</v>
      </c>
      <c r="G5" s="8">
        <v>2000</v>
      </c>
      <c r="H5" s="8">
        <v>50</v>
      </c>
      <c r="I5" s="8">
        <v>0.95</v>
      </c>
      <c r="J5" s="8">
        <v>0.1</v>
      </c>
      <c r="K5" s="8" t="s">
        <v>48</v>
      </c>
      <c r="L5" s="8" t="s">
        <v>49</v>
      </c>
      <c r="M5" s="9" t="s">
        <v>50</v>
      </c>
      <c r="N5" s="8" t="s">
        <v>62</v>
      </c>
      <c r="O5" s="8" t="s">
        <v>204</v>
      </c>
    </row>
    <row r="6" spans="1:15" x14ac:dyDescent="0.25">
      <c r="A6" s="8" t="s">
        <v>80</v>
      </c>
      <c r="B6" s="8" t="s">
        <v>67</v>
      </c>
      <c r="C6" s="8" t="s">
        <v>12</v>
      </c>
      <c r="D6" s="8">
        <v>29</v>
      </c>
      <c r="E6" s="8" t="s">
        <v>107</v>
      </c>
      <c r="F6" s="8" t="s">
        <v>52</v>
      </c>
      <c r="G6" s="8">
        <v>1200</v>
      </c>
      <c r="H6" s="8">
        <v>124</v>
      </c>
      <c r="I6" s="8">
        <v>0.85</v>
      </c>
      <c r="J6" s="8">
        <v>0.08</v>
      </c>
      <c r="K6" s="8" t="s">
        <v>59</v>
      </c>
      <c r="L6" s="8" t="s">
        <v>49</v>
      </c>
      <c r="M6" s="9" t="s">
        <v>50</v>
      </c>
      <c r="N6" s="8" t="s">
        <v>62</v>
      </c>
      <c r="O6" s="8" t="s">
        <v>205</v>
      </c>
    </row>
    <row r="7" spans="1:15" x14ac:dyDescent="0.25">
      <c r="A7" s="8" t="s">
        <v>80</v>
      </c>
      <c r="B7" s="8" t="s">
        <v>67</v>
      </c>
      <c r="C7" s="8" t="s">
        <v>13</v>
      </c>
      <c r="D7" s="8">
        <v>30</v>
      </c>
      <c r="E7" s="8" t="s">
        <v>107</v>
      </c>
      <c r="F7" s="8" t="s">
        <v>52</v>
      </c>
      <c r="G7" s="8">
        <v>1000</v>
      </c>
      <c r="H7" s="8">
        <v>50</v>
      </c>
      <c r="I7" s="8">
        <v>0.9</v>
      </c>
      <c r="J7" s="8">
        <v>0.15</v>
      </c>
      <c r="K7" s="8" t="s">
        <v>48</v>
      </c>
      <c r="L7" s="8" t="s">
        <v>49</v>
      </c>
      <c r="M7" s="9" t="s">
        <v>50</v>
      </c>
      <c r="N7" s="8" t="s">
        <v>62</v>
      </c>
      <c r="O7" s="8" t="s">
        <v>206</v>
      </c>
    </row>
    <row r="8" spans="1:15" x14ac:dyDescent="0.25">
      <c r="A8" s="8" t="s">
        <v>80</v>
      </c>
      <c r="B8" s="8" t="s">
        <v>67</v>
      </c>
      <c r="C8" s="8" t="s">
        <v>14</v>
      </c>
      <c r="D8" s="8">
        <v>48</v>
      </c>
      <c r="E8" s="8" t="s">
        <v>107</v>
      </c>
      <c r="F8" s="8" t="s">
        <v>52</v>
      </c>
      <c r="G8" s="8">
        <v>1000</v>
      </c>
      <c r="H8" s="8">
        <v>100</v>
      </c>
      <c r="I8" s="8">
        <v>0.9</v>
      </c>
      <c r="J8" s="8">
        <v>0.05</v>
      </c>
      <c r="K8" s="8" t="s">
        <v>48</v>
      </c>
      <c r="L8" s="8" t="s">
        <v>49</v>
      </c>
      <c r="M8" s="9" t="s">
        <v>50</v>
      </c>
      <c r="N8" s="8" t="s">
        <v>62</v>
      </c>
      <c r="O8" s="8" t="s">
        <v>207</v>
      </c>
    </row>
    <row r="9" spans="1:15" x14ac:dyDescent="0.25">
      <c r="A9" s="8" t="s">
        <v>80</v>
      </c>
      <c r="B9" s="8" t="s">
        <v>67</v>
      </c>
      <c r="C9" s="8" t="s">
        <v>83</v>
      </c>
      <c r="D9" s="8">
        <v>50</v>
      </c>
      <c r="E9" s="8" t="s">
        <v>107</v>
      </c>
      <c r="F9" s="8" t="s">
        <v>52</v>
      </c>
      <c r="G9" s="8">
        <v>400</v>
      </c>
      <c r="H9" s="8">
        <v>250</v>
      </c>
      <c r="I9" s="8">
        <v>0.85</v>
      </c>
      <c r="J9" s="8">
        <v>0.15</v>
      </c>
      <c r="K9" s="8" t="s">
        <v>59</v>
      </c>
      <c r="L9" s="8" t="s">
        <v>49</v>
      </c>
      <c r="M9" s="9" t="s">
        <v>50</v>
      </c>
      <c r="N9" s="8" t="s">
        <v>51</v>
      </c>
      <c r="O9" s="8" t="s">
        <v>208</v>
      </c>
    </row>
    <row r="10" spans="1:15" x14ac:dyDescent="0.25">
      <c r="A10" s="8" t="s">
        <v>80</v>
      </c>
      <c r="B10" s="8" t="s">
        <v>67</v>
      </c>
      <c r="C10" s="8" t="s">
        <v>84</v>
      </c>
      <c r="D10" s="8">
        <v>75</v>
      </c>
      <c r="E10" s="8" t="s">
        <v>107</v>
      </c>
      <c r="F10" s="8" t="s">
        <v>52</v>
      </c>
      <c r="G10" s="8">
        <v>2000</v>
      </c>
      <c r="H10" s="8">
        <v>100</v>
      </c>
      <c r="I10" s="8">
        <v>0.9</v>
      </c>
      <c r="J10" s="8">
        <v>0.03</v>
      </c>
      <c r="K10" s="8" t="s">
        <v>48</v>
      </c>
      <c r="L10" s="8" t="s">
        <v>49</v>
      </c>
      <c r="M10" s="9" t="s">
        <v>50</v>
      </c>
      <c r="N10" s="8" t="s">
        <v>62</v>
      </c>
      <c r="O10" s="8" t="s">
        <v>209</v>
      </c>
    </row>
    <row r="11" spans="1:15" x14ac:dyDescent="0.25">
      <c r="A11" s="8" t="s">
        <v>80</v>
      </c>
      <c r="B11" s="8" t="s">
        <v>67</v>
      </c>
      <c r="C11" s="8" t="s">
        <v>82</v>
      </c>
      <c r="D11" s="8">
        <v>127</v>
      </c>
      <c r="E11" s="8" t="s">
        <v>107</v>
      </c>
      <c r="F11" s="8" t="s">
        <v>52</v>
      </c>
      <c r="G11" s="8">
        <v>2000</v>
      </c>
      <c r="H11" s="8">
        <v>100</v>
      </c>
      <c r="I11" s="8">
        <v>0.8</v>
      </c>
      <c r="J11" s="8">
        <v>0.08</v>
      </c>
      <c r="K11" s="8" t="s">
        <v>48</v>
      </c>
      <c r="L11" s="8" t="s">
        <v>49</v>
      </c>
      <c r="M11" s="9" t="s">
        <v>50</v>
      </c>
      <c r="N11" s="8" t="s">
        <v>62</v>
      </c>
      <c r="O11" s="8" t="s">
        <v>210</v>
      </c>
    </row>
    <row r="12" spans="1:15" x14ac:dyDescent="0.25">
      <c r="A12" s="8" t="s">
        <v>80</v>
      </c>
      <c r="B12" s="8" t="s">
        <v>67</v>
      </c>
      <c r="C12" s="8" t="s">
        <v>10</v>
      </c>
      <c r="D12" s="8">
        <v>14</v>
      </c>
      <c r="E12" s="8" t="s">
        <v>8</v>
      </c>
      <c r="F12" s="8" t="s">
        <v>52</v>
      </c>
      <c r="G12" s="8">
        <v>120</v>
      </c>
      <c r="H12" s="8">
        <v>40</v>
      </c>
      <c r="I12" s="8">
        <v>0.95</v>
      </c>
      <c r="J12" s="8">
        <v>0.05</v>
      </c>
      <c r="K12" s="8" t="s">
        <v>59</v>
      </c>
      <c r="L12" s="8" t="s">
        <v>49</v>
      </c>
      <c r="M12" s="9" t="s">
        <v>61</v>
      </c>
      <c r="N12" s="8" t="s">
        <v>231</v>
      </c>
      <c r="O12" s="8" t="s">
        <v>211</v>
      </c>
    </row>
    <row r="13" spans="1:15" x14ac:dyDescent="0.25">
      <c r="A13" s="8" t="s">
        <v>80</v>
      </c>
      <c r="B13" s="8" t="s">
        <v>67</v>
      </c>
      <c r="C13" s="8" t="s">
        <v>4</v>
      </c>
      <c r="D13" s="8">
        <v>16</v>
      </c>
      <c r="E13" s="8" t="s">
        <v>8</v>
      </c>
      <c r="F13" s="8" t="s">
        <v>52</v>
      </c>
      <c r="G13" s="8">
        <v>240</v>
      </c>
      <c r="H13" s="8">
        <v>40</v>
      </c>
      <c r="I13" s="8">
        <v>0.95</v>
      </c>
      <c r="J13" s="8">
        <v>0.05</v>
      </c>
      <c r="K13" s="8" t="s">
        <v>59</v>
      </c>
      <c r="L13" s="8" t="s">
        <v>49</v>
      </c>
      <c r="M13" s="9" t="s">
        <v>61</v>
      </c>
      <c r="N13" s="8" t="s">
        <v>62</v>
      </c>
      <c r="O13" s="8" t="s">
        <v>212</v>
      </c>
    </row>
    <row r="14" spans="1:15" x14ac:dyDescent="0.25">
      <c r="A14" s="8" t="s">
        <v>80</v>
      </c>
      <c r="B14" s="8" t="s">
        <v>67</v>
      </c>
      <c r="C14" s="8" t="s">
        <v>15</v>
      </c>
      <c r="D14" s="8">
        <v>20</v>
      </c>
      <c r="E14" s="8" t="s">
        <v>8</v>
      </c>
      <c r="F14" s="8" t="s">
        <v>52</v>
      </c>
      <c r="G14" s="8">
        <v>120</v>
      </c>
      <c r="H14" s="8">
        <v>40</v>
      </c>
      <c r="I14" s="8">
        <v>0.95</v>
      </c>
      <c r="J14" s="8">
        <v>0.05</v>
      </c>
      <c r="K14" s="8" t="s">
        <v>59</v>
      </c>
      <c r="L14" s="8" t="s">
        <v>49</v>
      </c>
      <c r="M14" s="9" t="s">
        <v>61</v>
      </c>
      <c r="N14" s="8" t="s">
        <v>231</v>
      </c>
      <c r="O14" s="8" t="s">
        <v>213</v>
      </c>
    </row>
    <row r="15" spans="1:15" x14ac:dyDescent="0.25">
      <c r="A15" s="8" t="s">
        <v>80</v>
      </c>
      <c r="B15" s="8" t="s">
        <v>67</v>
      </c>
      <c r="C15" s="8" t="s">
        <v>11</v>
      </c>
      <c r="D15" s="8">
        <v>22</v>
      </c>
      <c r="E15" s="8" t="s">
        <v>8</v>
      </c>
      <c r="F15" s="8" t="s">
        <v>52</v>
      </c>
      <c r="G15" s="8">
        <v>240</v>
      </c>
      <c r="H15" s="8">
        <v>40</v>
      </c>
      <c r="I15" s="8">
        <v>0.95</v>
      </c>
      <c r="J15" s="8">
        <v>0.05</v>
      </c>
      <c r="K15" s="8" t="s">
        <v>59</v>
      </c>
      <c r="L15" s="8" t="s">
        <v>49</v>
      </c>
      <c r="M15" s="9" t="s">
        <v>61</v>
      </c>
      <c r="N15" s="8" t="s">
        <v>231</v>
      </c>
      <c r="O15" s="8" t="s">
        <v>214</v>
      </c>
    </row>
    <row r="16" spans="1:15" x14ac:dyDescent="0.25">
      <c r="A16" s="8" t="s">
        <v>80</v>
      </c>
      <c r="B16" s="8" t="s">
        <v>67</v>
      </c>
      <c r="C16" s="8" t="s">
        <v>12</v>
      </c>
      <c r="D16" s="8">
        <v>29</v>
      </c>
      <c r="E16" s="8" t="s">
        <v>8</v>
      </c>
      <c r="F16" s="8" t="s">
        <v>52</v>
      </c>
      <c r="G16" s="8">
        <v>100</v>
      </c>
      <c r="H16" s="8">
        <v>100</v>
      </c>
      <c r="I16" s="8">
        <v>0.95</v>
      </c>
      <c r="J16" s="8">
        <v>0.05</v>
      </c>
      <c r="K16" s="8" t="s">
        <v>59</v>
      </c>
      <c r="L16" s="8" t="s">
        <v>49</v>
      </c>
      <c r="M16" s="9" t="s">
        <v>61</v>
      </c>
      <c r="N16" s="8" t="s">
        <v>231</v>
      </c>
      <c r="O16" s="8" t="s">
        <v>215</v>
      </c>
    </row>
    <row r="17" spans="1:15" x14ac:dyDescent="0.25">
      <c r="A17" s="8" t="s">
        <v>80</v>
      </c>
      <c r="B17" s="8" t="s">
        <v>67</v>
      </c>
      <c r="C17" s="8" t="s">
        <v>13</v>
      </c>
      <c r="D17" s="8">
        <v>30</v>
      </c>
      <c r="E17" s="8" t="s">
        <v>8</v>
      </c>
      <c r="F17" s="8" t="s">
        <v>52</v>
      </c>
      <c r="G17" s="8">
        <v>120</v>
      </c>
      <c r="H17" s="8">
        <v>40</v>
      </c>
      <c r="I17" s="8">
        <v>0.95</v>
      </c>
      <c r="J17" s="8">
        <v>0.05</v>
      </c>
      <c r="K17" s="8" t="s">
        <v>59</v>
      </c>
      <c r="L17" s="8" t="s">
        <v>49</v>
      </c>
      <c r="M17" s="9" t="s">
        <v>61</v>
      </c>
      <c r="N17" s="8" t="s">
        <v>231</v>
      </c>
      <c r="O17" s="8" t="s">
        <v>216</v>
      </c>
    </row>
    <row r="18" spans="1:15" x14ac:dyDescent="0.25">
      <c r="A18" s="8" t="s">
        <v>80</v>
      </c>
      <c r="B18" s="8" t="s">
        <v>67</v>
      </c>
      <c r="C18" s="8" t="s">
        <v>14</v>
      </c>
      <c r="D18" s="8">
        <v>48</v>
      </c>
      <c r="E18" s="8" t="s">
        <v>8</v>
      </c>
      <c r="F18" s="8" t="s">
        <v>52</v>
      </c>
      <c r="G18" s="8">
        <v>240</v>
      </c>
      <c r="H18" s="8">
        <v>40</v>
      </c>
      <c r="I18" s="8">
        <v>0.95</v>
      </c>
      <c r="J18" s="8">
        <v>0.05</v>
      </c>
      <c r="K18" s="8" t="s">
        <v>59</v>
      </c>
      <c r="L18" s="8" t="s">
        <v>49</v>
      </c>
      <c r="M18" s="9" t="s">
        <v>61</v>
      </c>
      <c r="N18" s="8" t="s">
        <v>231</v>
      </c>
      <c r="O18" s="8" t="s">
        <v>217</v>
      </c>
    </row>
    <row r="19" spans="1:15" x14ac:dyDescent="0.25">
      <c r="A19" s="8" t="s">
        <v>80</v>
      </c>
      <c r="B19" s="8" t="s">
        <v>67</v>
      </c>
      <c r="C19" s="8" t="s">
        <v>83</v>
      </c>
      <c r="D19" s="8">
        <v>50</v>
      </c>
      <c r="E19" s="8" t="s">
        <v>8</v>
      </c>
      <c r="F19" s="8" t="s">
        <v>52</v>
      </c>
      <c r="G19" s="8">
        <v>280</v>
      </c>
      <c r="H19" s="8">
        <v>50</v>
      </c>
      <c r="I19" s="8">
        <v>0.95</v>
      </c>
      <c r="J19" s="8">
        <v>0.05</v>
      </c>
      <c r="K19" s="8" t="s">
        <v>59</v>
      </c>
      <c r="L19" s="8" t="s">
        <v>49</v>
      </c>
      <c r="M19" s="9" t="s">
        <v>61</v>
      </c>
      <c r="N19" s="8" t="s">
        <v>231</v>
      </c>
      <c r="O19" s="8" t="s">
        <v>218</v>
      </c>
    </row>
    <row r="20" spans="1:15" x14ac:dyDescent="0.25">
      <c r="A20" s="8" t="s">
        <v>80</v>
      </c>
      <c r="B20" s="8" t="s">
        <v>67</v>
      </c>
      <c r="C20" s="8" t="s">
        <v>84</v>
      </c>
      <c r="D20" s="8">
        <v>75</v>
      </c>
      <c r="E20" s="8" t="s">
        <v>8</v>
      </c>
      <c r="F20" s="8" t="s">
        <v>52</v>
      </c>
      <c r="G20" s="8">
        <v>750</v>
      </c>
      <c r="H20" s="8">
        <v>66</v>
      </c>
      <c r="I20" s="8">
        <v>0.95</v>
      </c>
      <c r="J20" s="8">
        <v>0.01</v>
      </c>
      <c r="K20" s="8" t="s">
        <v>59</v>
      </c>
      <c r="L20" s="8" t="s">
        <v>49</v>
      </c>
      <c r="M20" s="9" t="s">
        <v>61</v>
      </c>
      <c r="N20" s="8" t="s">
        <v>231</v>
      </c>
      <c r="O20" s="8" t="s">
        <v>219</v>
      </c>
    </row>
    <row r="21" spans="1:15" x14ac:dyDescent="0.25">
      <c r="A21" s="8" t="s">
        <v>80</v>
      </c>
      <c r="B21" s="8" t="s">
        <v>67</v>
      </c>
      <c r="C21" s="8" t="s">
        <v>82</v>
      </c>
      <c r="D21" s="8">
        <v>127</v>
      </c>
      <c r="E21" s="8" t="s">
        <v>8</v>
      </c>
      <c r="F21" s="8" t="s">
        <v>52</v>
      </c>
      <c r="G21" s="8">
        <v>250</v>
      </c>
      <c r="H21" s="8">
        <v>100</v>
      </c>
      <c r="I21" s="8">
        <v>0.95</v>
      </c>
      <c r="J21" s="8">
        <v>0.05</v>
      </c>
      <c r="K21" s="8" t="s">
        <v>59</v>
      </c>
      <c r="L21" s="8" t="s">
        <v>49</v>
      </c>
      <c r="M21" s="9" t="s">
        <v>50</v>
      </c>
      <c r="N21" s="8" t="s">
        <v>62</v>
      </c>
      <c r="O21" s="8" t="s">
        <v>220</v>
      </c>
    </row>
    <row r="22" spans="1:15" x14ac:dyDescent="0.25">
      <c r="A22" s="8" t="s">
        <v>80</v>
      </c>
      <c r="B22" s="8" t="s">
        <v>67</v>
      </c>
      <c r="C22" s="8" t="s">
        <v>10</v>
      </c>
      <c r="D22" s="8">
        <v>14</v>
      </c>
      <c r="E22" s="8" t="s">
        <v>109</v>
      </c>
      <c r="F22" s="8" t="s">
        <v>52</v>
      </c>
      <c r="G22" s="8">
        <v>800</v>
      </c>
      <c r="H22" s="8">
        <v>60</v>
      </c>
      <c r="I22" s="8">
        <v>0.95</v>
      </c>
      <c r="J22" s="8">
        <v>0.15</v>
      </c>
      <c r="K22" s="8" t="s">
        <v>59</v>
      </c>
      <c r="L22" s="8" t="s">
        <v>49</v>
      </c>
      <c r="M22" s="9" t="s">
        <v>61</v>
      </c>
      <c r="N22" s="8" t="s">
        <v>231</v>
      </c>
      <c r="O22" s="8" t="s">
        <v>221</v>
      </c>
    </row>
    <row r="23" spans="1:15" x14ac:dyDescent="0.25">
      <c r="A23" s="8" t="s">
        <v>80</v>
      </c>
      <c r="B23" s="8" t="s">
        <v>67</v>
      </c>
      <c r="C23" s="8" t="s">
        <v>4</v>
      </c>
      <c r="D23" s="8">
        <v>16</v>
      </c>
      <c r="E23" s="8" t="s">
        <v>109</v>
      </c>
      <c r="F23" s="8" t="s">
        <v>52</v>
      </c>
      <c r="G23" s="8">
        <v>500</v>
      </c>
      <c r="H23" s="8">
        <v>100</v>
      </c>
      <c r="I23" s="8">
        <v>0.95</v>
      </c>
      <c r="J23" s="8">
        <v>0.05</v>
      </c>
      <c r="K23" s="8" t="s">
        <v>59</v>
      </c>
      <c r="L23" s="8" t="s">
        <v>49</v>
      </c>
      <c r="M23" s="9" t="s">
        <v>61</v>
      </c>
      <c r="N23" s="8" t="s">
        <v>231</v>
      </c>
      <c r="O23" s="8" t="s">
        <v>222</v>
      </c>
    </row>
    <row r="24" spans="1:15" x14ac:dyDescent="0.25">
      <c r="A24" s="8" t="s">
        <v>80</v>
      </c>
      <c r="B24" s="8" t="s">
        <v>67</v>
      </c>
      <c r="C24" s="8" t="s">
        <v>15</v>
      </c>
      <c r="D24" s="8">
        <v>20</v>
      </c>
      <c r="E24" s="8" t="s">
        <v>109</v>
      </c>
      <c r="F24" s="8" t="s">
        <v>52</v>
      </c>
      <c r="G24" s="8">
        <v>1000</v>
      </c>
      <c r="H24" s="8">
        <v>50</v>
      </c>
      <c r="I24" s="8">
        <v>0.85</v>
      </c>
      <c r="J24" s="8">
        <v>0.15</v>
      </c>
      <c r="K24" s="8" t="s">
        <v>59</v>
      </c>
      <c r="L24" s="8" t="s">
        <v>49</v>
      </c>
      <c r="M24" s="9" t="s">
        <v>61</v>
      </c>
      <c r="N24" s="8" t="s">
        <v>231</v>
      </c>
      <c r="O24" s="8" t="s">
        <v>223</v>
      </c>
    </row>
    <row r="25" spans="1:15" x14ac:dyDescent="0.25">
      <c r="A25" s="8" t="s">
        <v>80</v>
      </c>
      <c r="B25" s="8" t="s">
        <v>67</v>
      </c>
      <c r="C25" s="8" t="s">
        <v>11</v>
      </c>
      <c r="D25" s="8">
        <v>22</v>
      </c>
      <c r="E25" s="8" t="s">
        <v>109</v>
      </c>
      <c r="F25" s="8" t="s">
        <v>52</v>
      </c>
      <c r="G25" s="8">
        <v>500</v>
      </c>
      <c r="H25" s="8">
        <v>100</v>
      </c>
      <c r="I25" s="8">
        <v>0.9</v>
      </c>
      <c r="J25" s="8">
        <v>0.05</v>
      </c>
      <c r="K25" s="8" t="s">
        <v>59</v>
      </c>
      <c r="L25" s="8" t="s">
        <v>63</v>
      </c>
      <c r="M25" s="9" t="s">
        <v>50</v>
      </c>
      <c r="N25" s="8" t="s">
        <v>62</v>
      </c>
      <c r="O25" s="8" t="s">
        <v>224</v>
      </c>
    </row>
    <row r="26" spans="1:15" x14ac:dyDescent="0.25">
      <c r="A26" s="8" t="s">
        <v>80</v>
      </c>
      <c r="B26" s="8" t="s">
        <v>67</v>
      </c>
      <c r="C26" s="8" t="s">
        <v>12</v>
      </c>
      <c r="D26" s="8">
        <v>29</v>
      </c>
      <c r="E26" s="8" t="s">
        <v>109</v>
      </c>
      <c r="F26" s="8" t="s">
        <v>52</v>
      </c>
      <c r="G26" s="8">
        <v>500</v>
      </c>
      <c r="H26" s="8">
        <v>200</v>
      </c>
      <c r="I26" s="8">
        <v>0.85</v>
      </c>
      <c r="J26" s="8">
        <v>0.1</v>
      </c>
      <c r="K26" s="8" t="s">
        <v>59</v>
      </c>
      <c r="L26" s="8" t="s">
        <v>49</v>
      </c>
      <c r="M26" s="9" t="s">
        <v>61</v>
      </c>
      <c r="N26" s="8" t="s">
        <v>231</v>
      </c>
      <c r="O26" s="8" t="s">
        <v>225</v>
      </c>
    </row>
    <row r="27" spans="1:15" x14ac:dyDescent="0.25">
      <c r="A27" s="8" t="s">
        <v>80</v>
      </c>
      <c r="B27" s="8" t="s">
        <v>67</v>
      </c>
      <c r="C27" s="8" t="s">
        <v>13</v>
      </c>
      <c r="D27" s="8">
        <v>30</v>
      </c>
      <c r="E27" s="8" t="s">
        <v>109</v>
      </c>
      <c r="F27" s="8" t="s">
        <v>52</v>
      </c>
      <c r="G27" s="8">
        <v>2000</v>
      </c>
      <c r="H27" s="8">
        <v>50</v>
      </c>
      <c r="I27" s="8">
        <v>0.95</v>
      </c>
      <c r="J27" s="8">
        <v>0.05</v>
      </c>
      <c r="K27" s="8" t="s">
        <v>59</v>
      </c>
      <c r="L27" s="8" t="s">
        <v>49</v>
      </c>
      <c r="M27" s="9" t="s">
        <v>50</v>
      </c>
      <c r="N27" s="8" t="s">
        <v>51</v>
      </c>
      <c r="O27" s="8" t="s">
        <v>226</v>
      </c>
    </row>
    <row r="28" spans="1:15" x14ac:dyDescent="0.25">
      <c r="A28" s="8" t="s">
        <v>80</v>
      </c>
      <c r="B28" s="8" t="s">
        <v>67</v>
      </c>
      <c r="C28" s="8" t="s">
        <v>14</v>
      </c>
      <c r="D28" s="8">
        <v>48</v>
      </c>
      <c r="E28" s="8" t="s">
        <v>109</v>
      </c>
      <c r="F28" s="8" t="s">
        <v>52</v>
      </c>
      <c r="G28" s="8">
        <v>1500</v>
      </c>
      <c r="H28" s="8">
        <v>66</v>
      </c>
      <c r="I28" s="8">
        <v>0.9</v>
      </c>
      <c r="J28" s="8">
        <v>0.05</v>
      </c>
      <c r="K28" s="8" t="s">
        <v>59</v>
      </c>
      <c r="L28" s="8" t="s">
        <v>49</v>
      </c>
      <c r="M28" s="9" t="s">
        <v>61</v>
      </c>
      <c r="N28" s="8" t="s">
        <v>231</v>
      </c>
      <c r="O28" s="8" t="s">
        <v>227</v>
      </c>
    </row>
    <row r="29" spans="1:15" x14ac:dyDescent="0.25">
      <c r="A29" s="8" t="s">
        <v>80</v>
      </c>
      <c r="B29" s="8" t="s">
        <v>67</v>
      </c>
      <c r="C29" s="8" t="s">
        <v>83</v>
      </c>
      <c r="D29" s="8">
        <v>50</v>
      </c>
      <c r="E29" s="8" t="s">
        <v>109</v>
      </c>
      <c r="F29" s="8" t="s">
        <v>52</v>
      </c>
      <c r="G29" s="8">
        <v>500</v>
      </c>
      <c r="H29" s="8">
        <v>200</v>
      </c>
      <c r="I29" s="8">
        <v>0.95</v>
      </c>
      <c r="J29" s="8">
        <v>0.05</v>
      </c>
      <c r="K29" s="8" t="s">
        <v>59</v>
      </c>
      <c r="L29" s="8" t="s">
        <v>49</v>
      </c>
      <c r="M29" s="9" t="s">
        <v>50</v>
      </c>
      <c r="N29" s="8" t="s">
        <v>51</v>
      </c>
      <c r="O29" s="8" t="s">
        <v>228</v>
      </c>
    </row>
    <row r="30" spans="1:15" x14ac:dyDescent="0.25">
      <c r="A30" s="8" t="s">
        <v>80</v>
      </c>
      <c r="B30" s="8" t="s">
        <v>67</v>
      </c>
      <c r="C30" s="8" t="s">
        <v>84</v>
      </c>
      <c r="D30" s="8">
        <v>75</v>
      </c>
      <c r="E30" s="8" t="s">
        <v>109</v>
      </c>
      <c r="F30" s="8" t="s">
        <v>52</v>
      </c>
      <c r="G30" s="8">
        <v>2000</v>
      </c>
      <c r="H30" s="8">
        <v>74</v>
      </c>
      <c r="I30" s="8">
        <v>0.9</v>
      </c>
      <c r="J30" s="8">
        <v>0.05</v>
      </c>
      <c r="K30" s="8" t="s">
        <v>59</v>
      </c>
      <c r="L30" s="8" t="s">
        <v>60</v>
      </c>
      <c r="M30" s="9" t="s">
        <v>50</v>
      </c>
      <c r="N30" s="8" t="s">
        <v>51</v>
      </c>
      <c r="O30" s="8" t="s">
        <v>229</v>
      </c>
    </row>
    <row r="31" spans="1:15" x14ac:dyDescent="0.25">
      <c r="A31" s="8" t="s">
        <v>80</v>
      </c>
      <c r="B31" s="8" t="s">
        <v>67</v>
      </c>
      <c r="C31" s="8" t="s">
        <v>82</v>
      </c>
      <c r="D31" s="8">
        <v>127</v>
      </c>
      <c r="E31" s="8" t="s">
        <v>109</v>
      </c>
      <c r="F31" s="8" t="s">
        <v>52</v>
      </c>
      <c r="G31" s="8">
        <v>5000</v>
      </c>
      <c r="H31" s="8">
        <v>40</v>
      </c>
      <c r="I31" s="8">
        <v>0.95</v>
      </c>
      <c r="J31" s="8">
        <v>0.1</v>
      </c>
      <c r="K31" s="8" t="s">
        <v>59</v>
      </c>
      <c r="L31" s="8" t="s">
        <v>49</v>
      </c>
      <c r="M31" s="9" t="s">
        <v>61</v>
      </c>
      <c r="N31" s="8" t="s">
        <v>231</v>
      </c>
      <c r="O31" s="8" t="s">
        <v>230</v>
      </c>
    </row>
    <row r="32" spans="1:15" x14ac:dyDescent="0.25">
      <c r="A32" s="8" t="s">
        <v>80</v>
      </c>
      <c r="B32" s="8" t="s">
        <v>67</v>
      </c>
      <c r="C32" s="8" t="s">
        <v>10</v>
      </c>
      <c r="D32" s="8">
        <v>14</v>
      </c>
      <c r="E32" s="8" t="s">
        <v>110</v>
      </c>
      <c r="F32" s="8" t="s">
        <v>52</v>
      </c>
      <c r="G32" s="8">
        <v>2000</v>
      </c>
      <c r="H32" s="8">
        <v>50</v>
      </c>
      <c r="I32" s="8">
        <v>0.7</v>
      </c>
      <c r="J32" s="8">
        <v>0.2</v>
      </c>
      <c r="K32" s="8" t="s">
        <v>59</v>
      </c>
      <c r="L32" s="8" t="s">
        <v>63</v>
      </c>
      <c r="M32" s="9" t="s">
        <v>50</v>
      </c>
      <c r="N32" s="8" t="s">
        <v>51</v>
      </c>
      <c r="O32" s="8" t="s">
        <v>191</v>
      </c>
    </row>
    <row r="33" spans="1:15" x14ac:dyDescent="0.25">
      <c r="A33" s="8" t="s">
        <v>80</v>
      </c>
      <c r="B33" s="8" t="s">
        <v>67</v>
      </c>
      <c r="C33" s="8" t="s">
        <v>4</v>
      </c>
      <c r="D33" s="8">
        <v>16</v>
      </c>
      <c r="E33" s="8" t="s">
        <v>110</v>
      </c>
      <c r="F33" s="8" t="s">
        <v>52</v>
      </c>
      <c r="G33" s="8">
        <v>500</v>
      </c>
      <c r="H33" s="8">
        <v>100</v>
      </c>
      <c r="I33" s="8">
        <v>0.9</v>
      </c>
      <c r="J33" s="8">
        <v>0.05</v>
      </c>
      <c r="K33" s="8" t="s">
        <v>59</v>
      </c>
      <c r="L33" s="8" t="s">
        <v>63</v>
      </c>
      <c r="M33" s="9" t="s">
        <v>61</v>
      </c>
      <c r="N33" s="8" t="s">
        <v>64</v>
      </c>
      <c r="O33" s="8" t="s">
        <v>192</v>
      </c>
    </row>
    <row r="34" spans="1:15" x14ac:dyDescent="0.25">
      <c r="A34" s="8" t="s">
        <v>80</v>
      </c>
      <c r="B34" s="8" t="s">
        <v>67</v>
      </c>
      <c r="C34" s="8" t="s">
        <v>15</v>
      </c>
      <c r="D34" s="8">
        <v>20</v>
      </c>
      <c r="E34" s="8" t="s">
        <v>110</v>
      </c>
      <c r="F34" s="8" t="s">
        <v>52</v>
      </c>
      <c r="G34" s="8">
        <v>500</v>
      </c>
      <c r="H34" s="8">
        <v>200</v>
      </c>
      <c r="I34" s="8">
        <v>0.7</v>
      </c>
      <c r="J34" s="8">
        <v>0.2</v>
      </c>
      <c r="K34" s="8" t="s">
        <v>59</v>
      </c>
      <c r="L34" s="8" t="s">
        <v>63</v>
      </c>
      <c r="M34" s="9" t="s">
        <v>50</v>
      </c>
      <c r="N34" s="8" t="s">
        <v>51</v>
      </c>
      <c r="O34" s="8" t="s">
        <v>193</v>
      </c>
    </row>
    <row r="35" spans="1:15" x14ac:dyDescent="0.25">
      <c r="A35" s="8" t="s">
        <v>80</v>
      </c>
      <c r="B35" s="8" t="s">
        <v>67</v>
      </c>
      <c r="C35" s="8" t="s">
        <v>11</v>
      </c>
      <c r="D35" s="8">
        <v>22</v>
      </c>
      <c r="E35" s="8" t="s">
        <v>110</v>
      </c>
      <c r="F35" s="8" t="s">
        <v>52</v>
      </c>
      <c r="G35" s="8">
        <v>500</v>
      </c>
      <c r="H35" s="8">
        <v>200</v>
      </c>
      <c r="I35" s="8">
        <v>0.9</v>
      </c>
      <c r="J35" s="8">
        <v>0.05</v>
      </c>
      <c r="K35" s="8" t="s">
        <v>59</v>
      </c>
      <c r="L35" s="8" t="s">
        <v>49</v>
      </c>
      <c r="M35" s="9" t="s">
        <v>50</v>
      </c>
      <c r="N35" s="8" t="s">
        <v>51</v>
      </c>
      <c r="O35" s="8" t="s">
        <v>194</v>
      </c>
    </row>
    <row r="36" spans="1:15" x14ac:dyDescent="0.25">
      <c r="A36" s="8" t="s">
        <v>80</v>
      </c>
      <c r="B36" s="8" t="s">
        <v>67</v>
      </c>
      <c r="C36" s="8" t="s">
        <v>12</v>
      </c>
      <c r="D36" s="8">
        <v>29</v>
      </c>
      <c r="E36" s="8" t="s">
        <v>110</v>
      </c>
      <c r="F36" s="8" t="s">
        <v>52</v>
      </c>
      <c r="G36" s="8">
        <v>500</v>
      </c>
      <c r="H36" s="8">
        <v>100</v>
      </c>
      <c r="I36" s="8">
        <v>0.9</v>
      </c>
      <c r="J36" s="8">
        <v>0.15</v>
      </c>
      <c r="K36" s="8" t="s">
        <v>48</v>
      </c>
      <c r="L36" s="8" t="s">
        <v>63</v>
      </c>
      <c r="M36" s="9" t="s">
        <v>50</v>
      </c>
      <c r="N36" s="8" t="s">
        <v>62</v>
      </c>
      <c r="O36" s="8" t="s">
        <v>195</v>
      </c>
    </row>
    <row r="37" spans="1:15" x14ac:dyDescent="0.25">
      <c r="A37" s="8" t="s">
        <v>80</v>
      </c>
      <c r="B37" s="8" t="s">
        <v>67</v>
      </c>
      <c r="C37" s="8" t="s">
        <v>13</v>
      </c>
      <c r="D37" s="8">
        <v>30</v>
      </c>
      <c r="E37" s="8" t="s">
        <v>110</v>
      </c>
      <c r="F37" s="8" t="s">
        <v>52</v>
      </c>
      <c r="G37" s="8">
        <v>250</v>
      </c>
      <c r="H37" s="8">
        <v>200</v>
      </c>
      <c r="I37" s="8">
        <v>0.9</v>
      </c>
      <c r="J37" s="8">
        <v>0.05</v>
      </c>
      <c r="K37" s="8" t="s">
        <v>59</v>
      </c>
      <c r="L37" s="8" t="s">
        <v>63</v>
      </c>
      <c r="M37" s="9" t="s">
        <v>50</v>
      </c>
      <c r="N37" s="8" t="s">
        <v>51</v>
      </c>
      <c r="O37" s="8" t="s">
        <v>196</v>
      </c>
    </row>
    <row r="38" spans="1:15" x14ac:dyDescent="0.25">
      <c r="A38" s="8" t="s">
        <v>80</v>
      </c>
      <c r="B38" s="8" t="s">
        <v>67</v>
      </c>
      <c r="C38" s="8" t="s">
        <v>14</v>
      </c>
      <c r="D38" s="8">
        <v>48</v>
      </c>
      <c r="E38" s="8" t="s">
        <v>110</v>
      </c>
      <c r="F38" s="8" t="s">
        <v>52</v>
      </c>
      <c r="G38" s="8">
        <v>200</v>
      </c>
      <c r="H38" s="8">
        <v>50</v>
      </c>
      <c r="I38" s="8">
        <v>0.9</v>
      </c>
      <c r="J38" s="8">
        <v>0.05</v>
      </c>
      <c r="K38" s="8" t="s">
        <v>59</v>
      </c>
      <c r="L38" s="8" t="s">
        <v>63</v>
      </c>
      <c r="M38" s="9" t="s">
        <v>61</v>
      </c>
      <c r="N38" s="8" t="s">
        <v>62</v>
      </c>
      <c r="O38" s="8" t="s">
        <v>197</v>
      </c>
    </row>
    <row r="39" spans="1:15" x14ac:dyDescent="0.25">
      <c r="A39" s="8" t="s">
        <v>80</v>
      </c>
      <c r="B39" s="8" t="s">
        <v>67</v>
      </c>
      <c r="C39" s="8" t="s">
        <v>83</v>
      </c>
      <c r="D39" s="8">
        <v>50</v>
      </c>
      <c r="E39" s="8" t="s">
        <v>110</v>
      </c>
      <c r="F39" s="8" t="s">
        <v>52</v>
      </c>
      <c r="G39" s="8">
        <v>500</v>
      </c>
      <c r="H39" s="8">
        <v>200</v>
      </c>
      <c r="I39" s="8">
        <v>0.9</v>
      </c>
      <c r="J39" s="8">
        <v>0.1</v>
      </c>
      <c r="K39" s="8" t="s">
        <v>48</v>
      </c>
      <c r="L39" s="8" t="s">
        <v>63</v>
      </c>
      <c r="M39" s="9" t="s">
        <v>50</v>
      </c>
      <c r="N39" s="8" t="s">
        <v>51</v>
      </c>
      <c r="O39" s="8" t="s">
        <v>198</v>
      </c>
    </row>
    <row r="40" spans="1:15" x14ac:dyDescent="0.25">
      <c r="A40" s="8" t="s">
        <v>80</v>
      </c>
      <c r="B40" s="8" t="s">
        <v>67</v>
      </c>
      <c r="C40" s="8" t="s">
        <v>84</v>
      </c>
      <c r="D40" s="8">
        <v>75</v>
      </c>
      <c r="E40" s="8" t="s">
        <v>110</v>
      </c>
      <c r="F40" s="8" t="s">
        <v>52</v>
      </c>
      <c r="G40" s="8">
        <v>500</v>
      </c>
      <c r="H40" s="8">
        <v>200</v>
      </c>
      <c r="I40" s="8">
        <v>0.9</v>
      </c>
      <c r="J40" s="8">
        <v>0.15</v>
      </c>
      <c r="K40" s="8" t="s">
        <v>48</v>
      </c>
      <c r="L40" s="8" t="s">
        <v>63</v>
      </c>
      <c r="M40" s="9" t="s">
        <v>50</v>
      </c>
      <c r="N40" s="8" t="s">
        <v>51</v>
      </c>
      <c r="O40" s="8" t="s">
        <v>199</v>
      </c>
    </row>
    <row r="41" spans="1:15" x14ac:dyDescent="0.25">
      <c r="A41" s="8" t="s">
        <v>80</v>
      </c>
      <c r="B41" s="8" t="s">
        <v>67</v>
      </c>
      <c r="C41" s="8" t="s">
        <v>82</v>
      </c>
      <c r="D41" s="8">
        <v>127</v>
      </c>
      <c r="E41" s="8" t="s">
        <v>110</v>
      </c>
      <c r="F41" s="8" t="s">
        <v>52</v>
      </c>
      <c r="G41" s="8">
        <v>500</v>
      </c>
      <c r="H41" s="8">
        <v>100</v>
      </c>
      <c r="I41" s="8">
        <v>0.9</v>
      </c>
      <c r="J41" s="8">
        <v>0.05</v>
      </c>
      <c r="K41" s="8" t="s">
        <v>48</v>
      </c>
      <c r="L41" s="8" t="s">
        <v>63</v>
      </c>
      <c r="M41" s="9" t="s">
        <v>50</v>
      </c>
      <c r="N41" s="8" t="s">
        <v>51</v>
      </c>
      <c r="O41" s="8" t="s">
        <v>200</v>
      </c>
    </row>
    <row r="42" spans="1:15" x14ac:dyDescent="0.25">
      <c r="A42" s="8" t="s">
        <v>80</v>
      </c>
      <c r="B42" s="8" t="s">
        <v>67</v>
      </c>
      <c r="C42" s="8" t="s">
        <v>10</v>
      </c>
      <c r="D42" s="8">
        <v>14</v>
      </c>
      <c r="E42" s="8" t="s">
        <v>107</v>
      </c>
      <c r="F42" s="8" t="s">
        <v>38</v>
      </c>
      <c r="G42" s="8">
        <v>500</v>
      </c>
      <c r="H42" s="8">
        <v>100</v>
      </c>
      <c r="I42" s="8">
        <v>0.85</v>
      </c>
      <c r="J42" s="8">
        <v>0.1</v>
      </c>
      <c r="K42" s="8" t="s">
        <v>48</v>
      </c>
      <c r="L42" s="8" t="s">
        <v>49</v>
      </c>
      <c r="M42" s="9" t="s">
        <v>50</v>
      </c>
      <c r="N42" s="8" t="s">
        <v>62</v>
      </c>
      <c r="O42" s="8" t="str">
        <f>CONCATENATE("I'm using mealpy library to solve Travelling Salesman Problem. My problem instance has ", D42,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14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43" spans="1:15" x14ac:dyDescent="0.25">
      <c r="A43" s="8" t="s">
        <v>80</v>
      </c>
      <c r="B43" s="8" t="s">
        <v>67</v>
      </c>
      <c r="C43" s="8" t="s">
        <v>4</v>
      </c>
      <c r="D43" s="8">
        <v>16</v>
      </c>
      <c r="E43" s="8" t="s">
        <v>107</v>
      </c>
      <c r="F43" s="8" t="s">
        <v>38</v>
      </c>
      <c r="G43" s="8">
        <v>500</v>
      </c>
      <c r="H43" s="8">
        <v>100</v>
      </c>
      <c r="I43" s="8">
        <v>0.8</v>
      </c>
      <c r="J43" s="8">
        <v>0.1</v>
      </c>
      <c r="K43" s="8" t="s">
        <v>48</v>
      </c>
      <c r="L43" s="8" t="s">
        <v>49</v>
      </c>
      <c r="M43" s="9" t="s">
        <v>50</v>
      </c>
      <c r="N43" s="8" t="s">
        <v>62</v>
      </c>
      <c r="O43" s="8" t="str">
        <f t="shared" ref="O43:O51" si="0">CONCATENATE("I'm using mealpy library to solve Travelling Salesman Problem. My problem instance has ", D43,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16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44" spans="1:15" x14ac:dyDescent="0.25">
      <c r="A44" s="8" t="s">
        <v>80</v>
      </c>
      <c r="B44" s="8" t="s">
        <v>67</v>
      </c>
      <c r="C44" s="8" t="s">
        <v>15</v>
      </c>
      <c r="D44" s="8">
        <v>20</v>
      </c>
      <c r="E44" s="8" t="s">
        <v>107</v>
      </c>
      <c r="F44" s="8" t="s">
        <v>38</v>
      </c>
      <c r="G44" s="8">
        <v>200</v>
      </c>
      <c r="H44" s="8">
        <v>100</v>
      </c>
      <c r="I44" s="8">
        <v>0.8</v>
      </c>
      <c r="J44" s="8">
        <v>0.1</v>
      </c>
      <c r="K44" s="8" t="s">
        <v>48</v>
      </c>
      <c r="L44" s="8" t="s">
        <v>49</v>
      </c>
      <c r="M44" s="9" t="s">
        <v>50</v>
      </c>
      <c r="N44" s="8" t="s">
        <v>62</v>
      </c>
      <c r="O44" s="8" t="str">
        <f t="shared" si="0"/>
        <v>I'm using mealpy library to solve Travelling Salesman Problem. My problem instance has 20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45" spans="1:15" x14ac:dyDescent="0.25">
      <c r="A45" s="8" t="s">
        <v>80</v>
      </c>
      <c r="B45" s="8" t="s">
        <v>67</v>
      </c>
      <c r="C45" s="8" t="s">
        <v>11</v>
      </c>
      <c r="D45" s="8">
        <v>22</v>
      </c>
      <c r="E45" s="8" t="s">
        <v>107</v>
      </c>
      <c r="F45" s="8" t="s">
        <v>38</v>
      </c>
      <c r="G45" s="8">
        <v>1000</v>
      </c>
      <c r="H45" s="8">
        <v>100</v>
      </c>
      <c r="I45" s="8">
        <v>0.9</v>
      </c>
      <c r="J45" s="8">
        <v>0.05</v>
      </c>
      <c r="K45" s="8" t="s">
        <v>48</v>
      </c>
      <c r="L45" s="8" t="s">
        <v>49</v>
      </c>
      <c r="M45" s="9" t="s">
        <v>50</v>
      </c>
      <c r="N45" s="8" t="s">
        <v>62</v>
      </c>
      <c r="O45" s="8" t="str">
        <f t="shared" si="0"/>
        <v>I'm using mealpy library to solve Travelling Salesman Problem. My problem instance has 22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46" spans="1:15" x14ac:dyDescent="0.25">
      <c r="A46" s="8" t="s">
        <v>80</v>
      </c>
      <c r="B46" s="8" t="s">
        <v>67</v>
      </c>
      <c r="C46" s="8" t="s">
        <v>12</v>
      </c>
      <c r="D46" s="8">
        <v>29</v>
      </c>
      <c r="E46" s="8" t="s">
        <v>107</v>
      </c>
      <c r="F46" s="8" t="s">
        <v>38</v>
      </c>
      <c r="G46" s="8">
        <v>1000</v>
      </c>
      <c r="H46" s="8">
        <v>150</v>
      </c>
      <c r="I46" s="8">
        <v>0.9</v>
      </c>
      <c r="J46" s="8">
        <v>0.05</v>
      </c>
      <c r="K46" s="8" t="s">
        <v>48</v>
      </c>
      <c r="L46" s="8" t="s">
        <v>49</v>
      </c>
      <c r="M46" s="9" t="s">
        <v>50</v>
      </c>
      <c r="N46" s="8" t="s">
        <v>62</v>
      </c>
      <c r="O46" s="8" t="str">
        <f t="shared" si="0"/>
        <v>I'm using mealpy library to solve Travelling Salesman Problem. My problem instance has 29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47" spans="1:15" x14ac:dyDescent="0.25">
      <c r="A47" s="8" t="s">
        <v>80</v>
      </c>
      <c r="B47" s="8" t="s">
        <v>67</v>
      </c>
      <c r="C47" s="8" t="s">
        <v>13</v>
      </c>
      <c r="D47" s="8">
        <v>30</v>
      </c>
      <c r="E47" s="8" t="s">
        <v>107</v>
      </c>
      <c r="F47" s="8" t="s">
        <v>38</v>
      </c>
      <c r="G47" s="8">
        <v>500</v>
      </c>
      <c r="H47" s="8">
        <v>100</v>
      </c>
      <c r="I47" s="8">
        <v>0.85</v>
      </c>
      <c r="J47" s="8">
        <v>0.1</v>
      </c>
      <c r="K47" s="8" t="s">
        <v>48</v>
      </c>
      <c r="L47" s="8" t="s">
        <v>49</v>
      </c>
      <c r="M47" s="9" t="s">
        <v>50</v>
      </c>
      <c r="N47" s="8" t="s">
        <v>62</v>
      </c>
      <c r="O47" s="8" t="str">
        <f t="shared" si="0"/>
        <v>I'm using mealpy library to solve Travelling Salesman Problem. My problem instance has 30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48" spans="1:15" x14ac:dyDescent="0.25">
      <c r="A48" s="8" t="s">
        <v>80</v>
      </c>
      <c r="B48" s="8" t="s">
        <v>67</v>
      </c>
      <c r="C48" s="8" t="s">
        <v>14</v>
      </c>
      <c r="D48" s="8">
        <v>48</v>
      </c>
      <c r="E48" s="8" t="s">
        <v>107</v>
      </c>
      <c r="F48" s="8" t="s">
        <v>38</v>
      </c>
      <c r="G48" s="8">
        <v>500</v>
      </c>
      <c r="H48" s="8">
        <v>200</v>
      </c>
      <c r="I48" s="8">
        <v>0.8</v>
      </c>
      <c r="J48" s="8">
        <v>0.1</v>
      </c>
      <c r="K48" s="8" t="s">
        <v>48</v>
      </c>
      <c r="L48" s="8" t="s">
        <v>49</v>
      </c>
      <c r="M48" s="9" t="s">
        <v>50</v>
      </c>
      <c r="N48" s="8" t="s">
        <v>62</v>
      </c>
      <c r="O48" s="8" t="str">
        <f t="shared" si="0"/>
        <v>I'm using mealpy library to solve Travelling Salesman Problem. My problem instance has 48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49" spans="1:15" x14ac:dyDescent="0.25">
      <c r="A49" s="8" t="s">
        <v>80</v>
      </c>
      <c r="B49" s="8" t="s">
        <v>67</v>
      </c>
      <c r="C49" s="8" t="s">
        <v>83</v>
      </c>
      <c r="D49" s="8">
        <v>50</v>
      </c>
      <c r="E49" s="8" t="s">
        <v>107</v>
      </c>
      <c r="F49" s="8" t="s">
        <v>38</v>
      </c>
      <c r="G49" s="8">
        <v>500</v>
      </c>
      <c r="H49" s="8">
        <v>200</v>
      </c>
      <c r="I49" s="8">
        <v>0.9</v>
      </c>
      <c r="J49" s="8">
        <v>0.1</v>
      </c>
      <c r="K49" s="8" t="s">
        <v>48</v>
      </c>
      <c r="L49" s="8" t="s">
        <v>63</v>
      </c>
      <c r="M49" s="9" t="s">
        <v>50</v>
      </c>
      <c r="N49" s="8" t="s">
        <v>62</v>
      </c>
      <c r="O49" s="8" t="str">
        <f t="shared" si="0"/>
        <v>I'm using mealpy library to solve Travelling Salesman Problem. My problem instance has 50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50" spans="1:15" x14ac:dyDescent="0.25">
      <c r="A50" s="8" t="s">
        <v>80</v>
      </c>
      <c r="B50" s="8" t="s">
        <v>67</v>
      </c>
      <c r="C50" s="8" t="s">
        <v>84</v>
      </c>
      <c r="D50" s="8">
        <v>75</v>
      </c>
      <c r="E50" s="8" t="s">
        <v>107</v>
      </c>
      <c r="F50" s="8" t="s">
        <v>38</v>
      </c>
      <c r="G50" s="8">
        <v>1000</v>
      </c>
      <c r="H50" s="8">
        <v>200</v>
      </c>
      <c r="I50" s="8">
        <v>0.85</v>
      </c>
      <c r="J50" s="8">
        <v>0.05</v>
      </c>
      <c r="K50" s="8" t="s">
        <v>48</v>
      </c>
      <c r="L50" s="8" t="s">
        <v>49</v>
      </c>
      <c r="M50" s="9" t="s">
        <v>50</v>
      </c>
      <c r="N50" s="8" t="s">
        <v>62</v>
      </c>
      <c r="O50" s="8" t="str">
        <f t="shared" si="0"/>
        <v>I'm using mealpy library to solve Travelling Salesman Problem. My problem instance has 75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51" spans="1:15" x14ac:dyDescent="0.25">
      <c r="A51" s="8" t="s">
        <v>80</v>
      </c>
      <c r="B51" s="8" t="s">
        <v>67</v>
      </c>
      <c r="C51" s="8" t="s">
        <v>82</v>
      </c>
      <c r="D51" s="8">
        <v>127</v>
      </c>
      <c r="E51" s="8" t="s">
        <v>107</v>
      </c>
      <c r="F51" s="8" t="s">
        <v>38</v>
      </c>
      <c r="G51" s="8">
        <v>1000</v>
      </c>
      <c r="H51" s="8">
        <v>200</v>
      </c>
      <c r="I51" s="8">
        <v>0.9</v>
      </c>
      <c r="J51" s="8">
        <v>0.05</v>
      </c>
      <c r="K51" s="8" t="s">
        <v>48</v>
      </c>
      <c r="L51" s="8" t="s">
        <v>49</v>
      </c>
      <c r="M51" s="9" t="s">
        <v>50</v>
      </c>
      <c r="N51" s="8" t="s">
        <v>62</v>
      </c>
      <c r="O51" s="8" t="str">
        <f t="shared" si="0"/>
        <v>I'm using mealpy library to solve Travelling Salesman Problem. My problem instance has 127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52" spans="1:15" x14ac:dyDescent="0.25">
      <c r="A52" s="8" t="s">
        <v>80</v>
      </c>
      <c r="B52" s="8" t="s">
        <v>67</v>
      </c>
      <c r="C52" s="8" t="s">
        <v>10</v>
      </c>
      <c r="D52" s="8">
        <v>14</v>
      </c>
      <c r="E52" s="8" t="s">
        <v>36</v>
      </c>
      <c r="F52" s="8" t="s">
        <v>38</v>
      </c>
      <c r="G52" s="8">
        <v>10000</v>
      </c>
      <c r="H52" s="8">
        <v>100</v>
      </c>
      <c r="I52" s="8">
        <v>0.95</v>
      </c>
      <c r="J52" s="8">
        <v>2.5000000000000001E-2</v>
      </c>
      <c r="K52" s="8" t="s">
        <v>48</v>
      </c>
      <c r="L52" s="8" t="s">
        <v>49</v>
      </c>
      <c r="M52" s="9" t="s">
        <v>50</v>
      </c>
      <c r="N52" s="8" t="s">
        <v>51</v>
      </c>
    </row>
    <row r="53" spans="1:15" x14ac:dyDescent="0.25">
      <c r="A53" s="8" t="s">
        <v>80</v>
      </c>
      <c r="B53" s="8" t="s">
        <v>67</v>
      </c>
      <c r="C53" s="8" t="s">
        <v>4</v>
      </c>
      <c r="D53" s="8">
        <v>16</v>
      </c>
      <c r="E53" s="8" t="s">
        <v>36</v>
      </c>
      <c r="F53" s="8" t="s">
        <v>38</v>
      </c>
      <c r="G53" s="8">
        <v>10000</v>
      </c>
      <c r="H53" s="8">
        <v>100</v>
      </c>
      <c r="I53" s="8">
        <v>0.95</v>
      </c>
      <c r="J53" s="8">
        <v>2.5000000000000001E-2</v>
      </c>
      <c r="K53" s="8" t="s">
        <v>48</v>
      </c>
      <c r="L53" s="8" t="s">
        <v>49</v>
      </c>
      <c r="M53" s="9" t="s">
        <v>50</v>
      </c>
      <c r="N53" s="8" t="s">
        <v>51</v>
      </c>
    </row>
    <row r="54" spans="1:15" x14ac:dyDescent="0.25">
      <c r="A54" s="8" t="s">
        <v>80</v>
      </c>
      <c r="B54" s="8" t="s">
        <v>67</v>
      </c>
      <c r="C54" s="8" t="s">
        <v>15</v>
      </c>
      <c r="D54" s="8">
        <v>20</v>
      </c>
      <c r="E54" s="8" t="s">
        <v>36</v>
      </c>
      <c r="F54" s="8" t="s">
        <v>38</v>
      </c>
      <c r="G54" s="8">
        <v>10000</v>
      </c>
      <c r="H54" s="8">
        <v>100</v>
      </c>
      <c r="I54" s="8">
        <v>0.95</v>
      </c>
      <c r="J54" s="8">
        <v>2.5000000000000001E-2</v>
      </c>
      <c r="K54" s="8" t="s">
        <v>48</v>
      </c>
      <c r="L54" s="8" t="s">
        <v>49</v>
      </c>
      <c r="M54" s="9" t="s">
        <v>50</v>
      </c>
      <c r="N54" s="8" t="s">
        <v>51</v>
      </c>
    </row>
    <row r="55" spans="1:15" x14ac:dyDescent="0.25">
      <c r="A55" s="8" t="s">
        <v>80</v>
      </c>
      <c r="B55" s="8" t="s">
        <v>67</v>
      </c>
      <c r="C55" s="8" t="s">
        <v>11</v>
      </c>
      <c r="D55" s="8">
        <v>22</v>
      </c>
      <c r="E55" s="8" t="s">
        <v>36</v>
      </c>
      <c r="F55" s="8" t="s">
        <v>38</v>
      </c>
      <c r="G55" s="8">
        <v>10000</v>
      </c>
      <c r="H55" s="8">
        <v>100</v>
      </c>
      <c r="I55" s="8">
        <v>0.95</v>
      </c>
      <c r="J55" s="8">
        <v>2.5000000000000001E-2</v>
      </c>
      <c r="K55" s="8" t="s">
        <v>48</v>
      </c>
      <c r="L55" s="8" t="s">
        <v>49</v>
      </c>
      <c r="M55" s="9" t="s">
        <v>50</v>
      </c>
      <c r="N55" s="8" t="s">
        <v>51</v>
      </c>
    </row>
    <row r="56" spans="1:15" x14ac:dyDescent="0.25">
      <c r="A56" s="8" t="s">
        <v>80</v>
      </c>
      <c r="B56" s="8" t="s">
        <v>67</v>
      </c>
      <c r="C56" s="8" t="s">
        <v>12</v>
      </c>
      <c r="D56" s="8">
        <v>29</v>
      </c>
      <c r="E56" s="8" t="s">
        <v>36</v>
      </c>
      <c r="F56" s="8" t="s">
        <v>38</v>
      </c>
      <c r="G56" s="8">
        <v>10000</v>
      </c>
      <c r="H56" s="8">
        <v>100</v>
      </c>
      <c r="I56" s="8">
        <v>0.95</v>
      </c>
      <c r="J56" s="8">
        <v>2.5000000000000001E-2</v>
      </c>
      <c r="K56" s="8" t="s">
        <v>48</v>
      </c>
      <c r="L56" s="8" t="s">
        <v>49</v>
      </c>
      <c r="M56" s="9" t="s">
        <v>50</v>
      </c>
      <c r="N56" s="8" t="s">
        <v>51</v>
      </c>
    </row>
    <row r="57" spans="1:15" x14ac:dyDescent="0.25">
      <c r="A57" s="8" t="s">
        <v>80</v>
      </c>
      <c r="B57" s="8" t="s">
        <v>67</v>
      </c>
      <c r="C57" s="8" t="s">
        <v>13</v>
      </c>
      <c r="D57" s="8">
        <v>30</v>
      </c>
      <c r="E57" s="8" t="s">
        <v>36</v>
      </c>
      <c r="F57" s="8" t="s">
        <v>38</v>
      </c>
      <c r="G57" s="8">
        <v>10000</v>
      </c>
      <c r="H57" s="8">
        <v>100</v>
      </c>
      <c r="I57" s="8">
        <v>0.95</v>
      </c>
      <c r="J57" s="8">
        <v>2.5000000000000001E-2</v>
      </c>
      <c r="K57" s="8" t="s">
        <v>48</v>
      </c>
      <c r="L57" s="8" t="s">
        <v>49</v>
      </c>
      <c r="M57" s="9" t="s">
        <v>50</v>
      </c>
      <c r="N57" s="8" t="s">
        <v>51</v>
      </c>
    </row>
    <row r="58" spans="1:15" x14ac:dyDescent="0.25">
      <c r="A58" s="8" t="s">
        <v>80</v>
      </c>
      <c r="B58" s="8" t="s">
        <v>67</v>
      </c>
      <c r="C58" s="8" t="s">
        <v>14</v>
      </c>
      <c r="D58" s="8">
        <v>48</v>
      </c>
      <c r="E58" s="8" t="s">
        <v>36</v>
      </c>
      <c r="F58" s="8" t="s">
        <v>38</v>
      </c>
      <c r="G58" s="8">
        <v>10000</v>
      </c>
      <c r="H58" s="8">
        <v>100</v>
      </c>
      <c r="I58" s="8">
        <v>0.95</v>
      </c>
      <c r="J58" s="8">
        <v>2.5000000000000001E-2</v>
      </c>
      <c r="K58" s="8" t="s">
        <v>48</v>
      </c>
      <c r="L58" s="8" t="s">
        <v>49</v>
      </c>
      <c r="M58" s="9" t="s">
        <v>50</v>
      </c>
      <c r="N58" s="8" t="s">
        <v>51</v>
      </c>
    </row>
    <row r="59" spans="1:15" x14ac:dyDescent="0.25">
      <c r="A59" s="8" t="s">
        <v>80</v>
      </c>
      <c r="B59" s="8" t="s">
        <v>67</v>
      </c>
      <c r="C59" s="8" t="s">
        <v>83</v>
      </c>
      <c r="D59" s="8">
        <v>50</v>
      </c>
      <c r="E59" s="8" t="s">
        <v>36</v>
      </c>
      <c r="F59" s="8" t="s">
        <v>38</v>
      </c>
      <c r="G59" s="8">
        <v>10000</v>
      </c>
      <c r="H59" s="8">
        <v>100</v>
      </c>
      <c r="I59" s="8">
        <v>0.95</v>
      </c>
      <c r="J59" s="8">
        <v>2.5000000000000001E-2</v>
      </c>
      <c r="K59" s="8" t="s">
        <v>48</v>
      </c>
      <c r="L59" s="8" t="s">
        <v>49</v>
      </c>
      <c r="M59" s="9" t="s">
        <v>50</v>
      </c>
      <c r="N59" s="8" t="s">
        <v>51</v>
      </c>
    </row>
    <row r="60" spans="1:15" x14ac:dyDescent="0.25">
      <c r="A60" s="8" t="s">
        <v>80</v>
      </c>
      <c r="B60" s="8" t="s">
        <v>67</v>
      </c>
      <c r="C60" s="8" t="s">
        <v>84</v>
      </c>
      <c r="D60" s="8">
        <v>75</v>
      </c>
      <c r="E60" s="8" t="s">
        <v>36</v>
      </c>
      <c r="F60" s="8" t="s">
        <v>38</v>
      </c>
      <c r="G60" s="8">
        <v>10000</v>
      </c>
      <c r="H60" s="8">
        <v>100</v>
      </c>
      <c r="I60" s="8">
        <v>0.95</v>
      </c>
      <c r="J60" s="8">
        <v>2.5000000000000001E-2</v>
      </c>
      <c r="K60" s="8" t="s">
        <v>48</v>
      </c>
      <c r="L60" s="8" t="s">
        <v>49</v>
      </c>
      <c r="M60" s="9" t="s">
        <v>50</v>
      </c>
      <c r="N60" s="8" t="s">
        <v>51</v>
      </c>
    </row>
    <row r="61" spans="1:15" x14ac:dyDescent="0.25">
      <c r="A61" s="8" t="s">
        <v>80</v>
      </c>
      <c r="B61" s="8" t="s">
        <v>67</v>
      </c>
      <c r="C61" s="8" t="s">
        <v>82</v>
      </c>
      <c r="D61" s="8">
        <v>127</v>
      </c>
      <c r="E61" s="8" t="s">
        <v>36</v>
      </c>
      <c r="F61" s="8" t="s">
        <v>38</v>
      </c>
      <c r="G61" s="8">
        <v>10000</v>
      </c>
      <c r="H61" s="8">
        <v>100</v>
      </c>
      <c r="I61" s="8">
        <v>0.95</v>
      </c>
      <c r="J61" s="8">
        <v>2.5000000000000001E-2</v>
      </c>
      <c r="K61" s="8" t="s">
        <v>48</v>
      </c>
      <c r="L61" s="8" t="s">
        <v>49</v>
      </c>
      <c r="M61" s="9" t="s">
        <v>50</v>
      </c>
      <c r="N61" s="8" t="s">
        <v>51</v>
      </c>
    </row>
    <row r="62" spans="1:15" x14ac:dyDescent="0.25">
      <c r="A62" s="8" t="s">
        <v>80</v>
      </c>
      <c r="B62" s="8" t="s">
        <v>67</v>
      </c>
      <c r="C62" s="8" t="s">
        <v>10</v>
      </c>
      <c r="D62" s="8">
        <v>14</v>
      </c>
      <c r="E62" s="8" t="s">
        <v>8</v>
      </c>
      <c r="F62" s="8" t="s">
        <v>38</v>
      </c>
      <c r="G62" s="8">
        <v>100</v>
      </c>
      <c r="H62" s="8">
        <v>50</v>
      </c>
      <c r="I62" s="8">
        <v>0.9</v>
      </c>
      <c r="J62" s="8">
        <v>0.1</v>
      </c>
      <c r="K62" s="8" t="s">
        <v>48</v>
      </c>
      <c r="L62" s="8" t="s">
        <v>63</v>
      </c>
      <c r="M62" s="9" t="s">
        <v>50</v>
      </c>
      <c r="N62" s="8" t="s">
        <v>62</v>
      </c>
      <c r="O62" s="8" t="str">
        <f>CONCATENATE("I'm using mealpy library to solve Travelling Salesman Problem. My problem instance has ", D62,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14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63" spans="1:15" x14ac:dyDescent="0.25">
      <c r="A63" s="8" t="s">
        <v>80</v>
      </c>
      <c r="B63" s="8" t="s">
        <v>67</v>
      </c>
      <c r="C63" s="8" t="s">
        <v>4</v>
      </c>
      <c r="D63" s="8">
        <v>16</v>
      </c>
      <c r="E63" s="8" t="s">
        <v>8</v>
      </c>
      <c r="F63" s="8" t="s">
        <v>38</v>
      </c>
      <c r="G63" s="8">
        <v>200</v>
      </c>
      <c r="H63" s="8">
        <v>50</v>
      </c>
      <c r="I63" s="8">
        <v>0.9</v>
      </c>
      <c r="J63" s="8">
        <v>0.1</v>
      </c>
      <c r="K63" s="8" t="s">
        <v>48</v>
      </c>
      <c r="L63" s="8" t="s">
        <v>63</v>
      </c>
      <c r="M63" s="9" t="s">
        <v>50</v>
      </c>
      <c r="N63" s="8" t="s">
        <v>62</v>
      </c>
      <c r="O63" s="8" t="str">
        <f>CONCATENATE("I'm using mealpy library to solve Travelling Salesman Problem. My problem instance has ", D63,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16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64" spans="1:15" x14ac:dyDescent="0.25">
      <c r="A64" s="8" t="s">
        <v>80</v>
      </c>
      <c r="B64" s="8" t="s">
        <v>67</v>
      </c>
      <c r="C64" s="8" t="s">
        <v>15</v>
      </c>
      <c r="D64" s="8">
        <v>20</v>
      </c>
      <c r="E64" s="8" t="s">
        <v>8</v>
      </c>
      <c r="F64" s="8" t="s">
        <v>38</v>
      </c>
      <c r="G64" s="8">
        <v>100</v>
      </c>
      <c r="H64" s="8">
        <v>50</v>
      </c>
      <c r="I64" s="8">
        <v>0.9</v>
      </c>
      <c r="J64" s="8">
        <v>0.1</v>
      </c>
      <c r="K64" s="8" t="s">
        <v>48</v>
      </c>
      <c r="L64" s="8" t="s">
        <v>63</v>
      </c>
      <c r="M64" s="9" t="s">
        <v>50</v>
      </c>
      <c r="N64" s="8" t="s">
        <v>62</v>
      </c>
      <c r="O64" s="8" t="str">
        <f>CONCATENATE("I'm using mealpy library to solve Travelling Salesman Problem. My problem instance has ", D64,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20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65" spans="1:15" x14ac:dyDescent="0.25">
      <c r="A65" s="8" t="s">
        <v>80</v>
      </c>
      <c r="B65" s="8" t="s">
        <v>67</v>
      </c>
      <c r="C65" s="8" t="s">
        <v>11</v>
      </c>
      <c r="D65" s="8">
        <v>22</v>
      </c>
      <c r="E65" s="8" t="s">
        <v>8</v>
      </c>
      <c r="F65" s="8" t="s">
        <v>38</v>
      </c>
      <c r="G65" s="8">
        <v>200</v>
      </c>
      <c r="H65" s="8">
        <v>50</v>
      </c>
      <c r="I65" s="8">
        <v>0.9</v>
      </c>
      <c r="J65" s="8">
        <v>0.1</v>
      </c>
      <c r="K65" s="8" t="s">
        <v>48</v>
      </c>
      <c r="L65" s="8" t="s">
        <v>63</v>
      </c>
      <c r="M65" s="9" t="s">
        <v>50</v>
      </c>
      <c r="N65" s="8" t="s">
        <v>62</v>
      </c>
      <c r="O65" s="8" t="str">
        <f>CONCATENATE("I'm using mealpy library to solve Travelling Salesman Problem. My problem instance has ", D65,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22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66" spans="1:15" x14ac:dyDescent="0.25">
      <c r="A66" s="8" t="s">
        <v>80</v>
      </c>
      <c r="B66" s="8" t="s">
        <v>67</v>
      </c>
      <c r="C66" s="8" t="s">
        <v>12</v>
      </c>
      <c r="D66" s="8">
        <v>29</v>
      </c>
      <c r="E66" s="8" t="s">
        <v>8</v>
      </c>
      <c r="F66" s="8" t="s">
        <v>38</v>
      </c>
      <c r="G66" s="8">
        <v>200</v>
      </c>
      <c r="H66" s="8">
        <v>50</v>
      </c>
      <c r="I66" s="8">
        <v>0.9</v>
      </c>
      <c r="J66" s="8">
        <v>0.1</v>
      </c>
      <c r="K66" s="8" t="s">
        <v>48</v>
      </c>
      <c r="L66" s="8" t="s">
        <v>63</v>
      </c>
      <c r="M66" s="9" t="s">
        <v>50</v>
      </c>
      <c r="N66" s="8" t="s">
        <v>62</v>
      </c>
      <c r="O66" s="8" t="str">
        <f>CONCATENATE("I'm using mealpy library to solve Travelling Salesman Problem. My problem instance has ", D66,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29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67" spans="1:15" x14ac:dyDescent="0.25">
      <c r="A67" s="8" t="s">
        <v>80</v>
      </c>
      <c r="B67" s="8" t="s">
        <v>67</v>
      </c>
      <c r="C67" s="8" t="s">
        <v>13</v>
      </c>
      <c r="D67" s="8">
        <v>30</v>
      </c>
      <c r="E67" s="8" t="s">
        <v>8</v>
      </c>
      <c r="F67" s="8" t="s">
        <v>38</v>
      </c>
      <c r="G67" s="8">
        <v>1000</v>
      </c>
      <c r="H67" s="8">
        <v>50</v>
      </c>
      <c r="I67" s="8">
        <v>0.9</v>
      </c>
      <c r="J67" s="8">
        <v>0.1</v>
      </c>
      <c r="K67" s="8" t="s">
        <v>48</v>
      </c>
      <c r="L67" s="8" t="s">
        <v>63</v>
      </c>
      <c r="M67" s="9" t="s">
        <v>50</v>
      </c>
      <c r="N67" s="8" t="s">
        <v>62</v>
      </c>
      <c r="O67" s="8" t="str">
        <f>CONCATENATE("I'm using mealpy library to solve Travelling Salesman Problem. My problem instance has ", D67,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30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68" spans="1:15" x14ac:dyDescent="0.25">
      <c r="A68" s="8" t="s">
        <v>80</v>
      </c>
      <c r="B68" s="8" t="s">
        <v>67</v>
      </c>
      <c r="C68" s="8" t="s">
        <v>14</v>
      </c>
      <c r="D68" s="8">
        <v>48</v>
      </c>
      <c r="E68" s="8" t="s">
        <v>8</v>
      </c>
      <c r="F68" s="8" t="s">
        <v>38</v>
      </c>
      <c r="G68" s="8">
        <v>200</v>
      </c>
      <c r="H68" s="8">
        <v>50</v>
      </c>
      <c r="I68" s="8">
        <v>0.9</v>
      </c>
      <c r="J68" s="8">
        <v>0.1</v>
      </c>
      <c r="K68" s="8" t="s">
        <v>48</v>
      </c>
      <c r="L68" s="8" t="s">
        <v>63</v>
      </c>
      <c r="M68" s="9" t="s">
        <v>50</v>
      </c>
      <c r="N68" s="8" t="s">
        <v>62</v>
      </c>
      <c r="O68" s="8" t="str">
        <f>CONCATENATE("I'm using mealpy library to solve Travelling Salesman Problem. My problem instance has ", D68,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48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69" spans="1:15" x14ac:dyDescent="0.25">
      <c r="A69" s="8" t="s">
        <v>80</v>
      </c>
      <c r="B69" s="8" t="s">
        <v>67</v>
      </c>
      <c r="C69" s="8" t="s">
        <v>83</v>
      </c>
      <c r="D69" s="8">
        <v>50</v>
      </c>
      <c r="E69" s="8" t="s">
        <v>8</v>
      </c>
      <c r="F69" s="8" t="s">
        <v>38</v>
      </c>
      <c r="G69" s="8">
        <v>200</v>
      </c>
      <c r="H69" s="8">
        <v>70</v>
      </c>
      <c r="I69" s="8">
        <v>0.9</v>
      </c>
      <c r="J69" s="8">
        <v>0.1</v>
      </c>
      <c r="K69" s="8" t="s">
        <v>48</v>
      </c>
      <c r="L69" s="8" t="s">
        <v>63</v>
      </c>
      <c r="M69" s="9" t="s">
        <v>50</v>
      </c>
      <c r="N69" s="8" t="s">
        <v>62</v>
      </c>
      <c r="O69" s="8" t="str">
        <f>CONCATENATE("I'm using mealpy library to solve Travelling Salesman Problem. My problem instance has ", D69,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50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70" spans="1:15" x14ac:dyDescent="0.25">
      <c r="A70" s="8" t="s">
        <v>80</v>
      </c>
      <c r="B70" s="8" t="s">
        <v>67</v>
      </c>
      <c r="C70" s="8" t="s">
        <v>84</v>
      </c>
      <c r="D70" s="8">
        <v>75</v>
      </c>
      <c r="E70" s="8" t="s">
        <v>8</v>
      </c>
      <c r="F70" s="8" t="s">
        <v>38</v>
      </c>
      <c r="G70" s="8">
        <v>500</v>
      </c>
      <c r="H70" s="8">
        <v>100</v>
      </c>
      <c r="I70" s="8">
        <v>0.9</v>
      </c>
      <c r="J70" s="8">
        <v>0.05</v>
      </c>
      <c r="K70" s="8" t="s">
        <v>48</v>
      </c>
      <c r="L70" s="8" t="s">
        <v>63</v>
      </c>
      <c r="M70" s="9" t="s">
        <v>50</v>
      </c>
      <c r="N70" s="8" t="s">
        <v>62</v>
      </c>
      <c r="O70" s="8" t="str">
        <f>CONCATENATE("I'm using mealpy library to solve Travelling Salesman Problem. My problem instance has ", D70,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75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71" spans="1:15" x14ac:dyDescent="0.25">
      <c r="A71" s="8" t="s">
        <v>80</v>
      </c>
      <c r="B71" s="8" t="s">
        <v>67</v>
      </c>
      <c r="C71" s="8" t="s">
        <v>82</v>
      </c>
      <c r="D71" s="8">
        <v>127</v>
      </c>
      <c r="E71" s="8" t="s">
        <v>8</v>
      </c>
      <c r="F71" s="8" t="s">
        <v>38</v>
      </c>
      <c r="G71" s="8">
        <v>500</v>
      </c>
      <c r="H71" s="8">
        <v>50</v>
      </c>
      <c r="I71" s="8">
        <v>0.9</v>
      </c>
      <c r="J71" s="8">
        <v>0.1</v>
      </c>
      <c r="K71" s="8" t="s">
        <v>48</v>
      </c>
      <c r="L71" s="8" t="s">
        <v>63</v>
      </c>
      <c r="M71" s="9" t="s">
        <v>50</v>
      </c>
      <c r="N71" s="8" t="s">
        <v>62</v>
      </c>
      <c r="O71" s="8" t="str">
        <f>CONCATENATE("I'm using mealpy library to solve Travelling Salesman Problem. My problem instance has ", D71,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127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72" spans="1:15" x14ac:dyDescent="0.25">
      <c r="A72" s="8" t="s">
        <v>80</v>
      </c>
      <c r="B72" s="8" t="s">
        <v>67</v>
      </c>
      <c r="C72" s="8" t="s">
        <v>10</v>
      </c>
      <c r="D72" s="8">
        <v>14</v>
      </c>
      <c r="E72" s="8" t="s">
        <v>109</v>
      </c>
      <c r="F72" s="8" t="s">
        <v>38</v>
      </c>
      <c r="G72" s="8">
        <v>1000</v>
      </c>
      <c r="H72" s="8">
        <v>50</v>
      </c>
      <c r="I72" s="8">
        <v>0.9</v>
      </c>
      <c r="J72" s="8">
        <v>0.1</v>
      </c>
      <c r="K72" s="8" t="s">
        <v>48</v>
      </c>
      <c r="L72" s="8" t="s">
        <v>63</v>
      </c>
      <c r="M72" s="9" t="s">
        <v>50</v>
      </c>
      <c r="N72" s="8" t="s">
        <v>62</v>
      </c>
      <c r="O72" s="8" t="str">
        <f>CONCATENATE("I'm using mealpy library to solve Travelling Salesman Problem. My problem instance has ", D72,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14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73" spans="1:15" x14ac:dyDescent="0.25">
      <c r="A73" s="8" t="s">
        <v>80</v>
      </c>
      <c r="B73" s="8" t="s">
        <v>67</v>
      </c>
      <c r="C73" s="8" t="s">
        <v>4</v>
      </c>
      <c r="D73" s="8">
        <v>16</v>
      </c>
      <c r="E73" s="8" t="s">
        <v>109</v>
      </c>
      <c r="F73" s="8" t="s">
        <v>38</v>
      </c>
      <c r="G73" s="8">
        <v>1000</v>
      </c>
      <c r="H73" s="8">
        <v>50</v>
      </c>
      <c r="I73" s="8">
        <v>0.9</v>
      </c>
      <c r="J73" s="8">
        <v>0.1</v>
      </c>
      <c r="K73" s="8" t="s">
        <v>48</v>
      </c>
      <c r="L73" s="8" t="s">
        <v>63</v>
      </c>
      <c r="M73" s="9" t="s">
        <v>50</v>
      </c>
      <c r="N73" s="8" t="s">
        <v>62</v>
      </c>
      <c r="O73" s="8" t="str">
        <f>CONCATENATE("I'm using mealpy library to solve Travelling Salesman Problem. My problem instance has ", D73,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16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74" spans="1:15" x14ac:dyDescent="0.25">
      <c r="A74" s="8" t="s">
        <v>80</v>
      </c>
      <c r="B74" s="8" t="s">
        <v>67</v>
      </c>
      <c r="C74" s="8" t="s">
        <v>15</v>
      </c>
      <c r="D74" s="8">
        <v>20</v>
      </c>
      <c r="E74" s="8" t="s">
        <v>109</v>
      </c>
      <c r="F74" s="8" t="s">
        <v>38</v>
      </c>
      <c r="G74" s="8">
        <v>500</v>
      </c>
      <c r="H74" s="8">
        <v>100</v>
      </c>
      <c r="I74" s="8">
        <v>0.8</v>
      </c>
      <c r="J74" s="8">
        <v>0.2</v>
      </c>
      <c r="K74" s="8" t="s">
        <v>48</v>
      </c>
      <c r="L74" s="8" t="s">
        <v>49</v>
      </c>
      <c r="M74" s="9" t="s">
        <v>61</v>
      </c>
      <c r="N74" s="8" t="s">
        <v>62</v>
      </c>
      <c r="O74" s="8" t="str">
        <f>CONCATENATE("I'm using mealpy library to solve Travelling Salesman Problem. My problem instance has ", D74,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20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75" spans="1:15" x14ac:dyDescent="0.25">
      <c r="A75" s="8" t="s">
        <v>80</v>
      </c>
      <c r="B75" s="8" t="s">
        <v>67</v>
      </c>
      <c r="C75" s="8" t="s">
        <v>11</v>
      </c>
      <c r="D75" s="8">
        <v>22</v>
      </c>
      <c r="E75" s="8" t="s">
        <v>109</v>
      </c>
      <c r="F75" s="8" t="s">
        <v>38</v>
      </c>
      <c r="G75" s="8">
        <v>1000</v>
      </c>
      <c r="H75" s="8">
        <v>50</v>
      </c>
      <c r="I75" s="8">
        <v>0.8</v>
      </c>
      <c r="J75" s="8">
        <v>0.1</v>
      </c>
      <c r="K75" s="8" t="s">
        <v>48</v>
      </c>
      <c r="L75" s="8" t="s">
        <v>60</v>
      </c>
      <c r="M75" s="9" t="s">
        <v>61</v>
      </c>
      <c r="N75" s="8" t="s">
        <v>62</v>
      </c>
      <c r="O75" s="8" t="str">
        <f>CONCATENATE("I'm using mealpy library to solve Travelling Salesman Problem. My problem instance has ", D75,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22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76" spans="1:15" x14ac:dyDescent="0.25">
      <c r="A76" s="8" t="s">
        <v>80</v>
      </c>
      <c r="B76" s="8" t="s">
        <v>67</v>
      </c>
      <c r="C76" s="8" t="s">
        <v>12</v>
      </c>
      <c r="D76" s="8">
        <v>29</v>
      </c>
      <c r="E76" s="8" t="s">
        <v>109</v>
      </c>
      <c r="F76" s="8" t="s">
        <v>38</v>
      </c>
      <c r="G76" s="8">
        <v>1000</v>
      </c>
      <c r="H76" s="8">
        <v>100</v>
      </c>
      <c r="I76" s="8">
        <v>0.8</v>
      </c>
      <c r="J76" s="8">
        <v>0.2</v>
      </c>
      <c r="K76" s="8" t="s">
        <v>48</v>
      </c>
      <c r="L76" s="8" t="s">
        <v>63</v>
      </c>
      <c r="M76" s="9" t="s">
        <v>50</v>
      </c>
      <c r="N76" s="8" t="s">
        <v>62</v>
      </c>
      <c r="O76" s="8" t="str">
        <f>CONCATENATE("I'm using mealpy library to solve Travelling Salesman Problem. My problem instance has ", D76,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29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77" spans="1:15" x14ac:dyDescent="0.25">
      <c r="A77" s="8" t="s">
        <v>80</v>
      </c>
      <c r="B77" s="8" t="s">
        <v>67</v>
      </c>
      <c r="C77" s="8" t="s">
        <v>13</v>
      </c>
      <c r="D77" s="8">
        <v>30</v>
      </c>
      <c r="E77" s="8" t="s">
        <v>109</v>
      </c>
      <c r="F77" s="8" t="s">
        <v>38</v>
      </c>
      <c r="G77" s="8">
        <v>1000</v>
      </c>
      <c r="H77" s="8">
        <v>100</v>
      </c>
      <c r="I77" s="8">
        <v>0.9</v>
      </c>
      <c r="J77" s="8">
        <v>0.1</v>
      </c>
      <c r="K77" s="8" t="s">
        <v>48</v>
      </c>
      <c r="L77" s="8" t="s">
        <v>49</v>
      </c>
      <c r="M77" s="9" t="s">
        <v>61</v>
      </c>
      <c r="N77" s="8" t="s">
        <v>62</v>
      </c>
      <c r="O77" s="8" t="str">
        <f>CONCATENATE("I'm using mealpy library to solve Travelling Salesman Problem. My problem instance has ", D77,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30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78" spans="1:15" x14ac:dyDescent="0.25">
      <c r="A78" s="8" t="s">
        <v>80</v>
      </c>
      <c r="B78" s="8" t="s">
        <v>67</v>
      </c>
      <c r="C78" s="8" t="s">
        <v>14</v>
      </c>
      <c r="D78" s="8">
        <v>48</v>
      </c>
      <c r="E78" s="8" t="s">
        <v>109</v>
      </c>
      <c r="F78" s="8" t="s">
        <v>38</v>
      </c>
      <c r="G78" s="8">
        <v>1000</v>
      </c>
      <c r="H78" s="8">
        <v>100</v>
      </c>
      <c r="I78" s="8">
        <v>0.8</v>
      </c>
      <c r="J78" s="8">
        <v>0.1</v>
      </c>
      <c r="K78" s="8" t="s">
        <v>48</v>
      </c>
      <c r="L78" s="8" t="s">
        <v>63</v>
      </c>
      <c r="M78" s="9" t="s">
        <v>50</v>
      </c>
      <c r="N78" s="8" t="s">
        <v>62</v>
      </c>
      <c r="O78" s="8" t="str">
        <f>CONCATENATE("I'm using mealpy library to solve Travelling Salesman Problem. My problem instance has ", D78,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48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79" spans="1:15" x14ac:dyDescent="0.25">
      <c r="A79" s="8" t="s">
        <v>80</v>
      </c>
      <c r="B79" s="8" t="s">
        <v>67</v>
      </c>
      <c r="C79" s="8" t="s">
        <v>83</v>
      </c>
      <c r="D79" s="8">
        <v>50</v>
      </c>
      <c r="E79" s="8" t="s">
        <v>109</v>
      </c>
      <c r="F79" s="8" t="s">
        <v>38</v>
      </c>
      <c r="G79" s="8">
        <v>1000</v>
      </c>
      <c r="H79" s="8">
        <v>100</v>
      </c>
      <c r="I79" s="8">
        <v>0.9</v>
      </c>
      <c r="J79" s="8">
        <v>0.1</v>
      </c>
      <c r="K79" s="8" t="s">
        <v>48</v>
      </c>
      <c r="L79" s="8" t="s">
        <v>63</v>
      </c>
      <c r="M79" s="9" t="s">
        <v>61</v>
      </c>
      <c r="N79" s="8" t="s">
        <v>62</v>
      </c>
      <c r="O79" s="8" t="str">
        <f>CONCATENATE("I'm using mealpy library to solve Travelling Salesman Problem. My problem instance has ", D79,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50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80" spans="1:15" x14ac:dyDescent="0.25">
      <c r="A80" s="8" t="s">
        <v>80</v>
      </c>
      <c r="B80" s="8" t="s">
        <v>67</v>
      </c>
      <c r="C80" s="8" t="s">
        <v>84</v>
      </c>
      <c r="D80" s="8">
        <v>75</v>
      </c>
      <c r="E80" s="8" t="s">
        <v>109</v>
      </c>
      <c r="F80" s="8" t="s">
        <v>38</v>
      </c>
      <c r="G80" s="8">
        <v>1000</v>
      </c>
      <c r="H80" s="8">
        <v>150</v>
      </c>
      <c r="I80" s="8">
        <v>0.8</v>
      </c>
      <c r="J80" s="8">
        <v>0.02</v>
      </c>
      <c r="K80" s="8" t="s">
        <v>48</v>
      </c>
      <c r="L80" s="8" t="s">
        <v>49</v>
      </c>
      <c r="M80" s="9" t="s">
        <v>61</v>
      </c>
      <c r="N80" s="8" t="s">
        <v>62</v>
      </c>
      <c r="O80" s="8" t="str">
        <f>CONCATENATE("I'm using mealpy library to solve Travelling Salesman Problem. My problem instance has ", D80,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75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81" spans="1:15" x14ac:dyDescent="0.25">
      <c r="A81" s="8" t="s">
        <v>80</v>
      </c>
      <c r="B81" s="8" t="s">
        <v>67</v>
      </c>
      <c r="C81" s="8" t="s">
        <v>82</v>
      </c>
      <c r="D81" s="8">
        <v>127</v>
      </c>
      <c r="E81" s="8" t="s">
        <v>109</v>
      </c>
      <c r="F81" s="8" t="s">
        <v>38</v>
      </c>
      <c r="G81" s="8">
        <v>1000</v>
      </c>
      <c r="H81" s="8">
        <v>200</v>
      </c>
      <c r="I81" s="8">
        <v>0.9</v>
      </c>
      <c r="J81" s="8">
        <v>0.05</v>
      </c>
      <c r="K81" s="8" t="s">
        <v>48</v>
      </c>
      <c r="L81" s="8" t="s">
        <v>49</v>
      </c>
      <c r="M81" s="9" t="s">
        <v>50</v>
      </c>
      <c r="N81" s="8" t="s">
        <v>62</v>
      </c>
      <c r="O81" s="8" t="str">
        <f>CONCATENATE("I'm using mealpy library to solve Travelling Salesman Problem. My problem instance has ", D81,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127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82" spans="1:15" x14ac:dyDescent="0.25">
      <c r="A82" s="8" t="s">
        <v>80</v>
      </c>
      <c r="B82" s="8" t="s">
        <v>67</v>
      </c>
      <c r="C82" s="8" t="s">
        <v>10</v>
      </c>
      <c r="D82" s="8">
        <v>14</v>
      </c>
      <c r="E82" s="8" t="s">
        <v>110</v>
      </c>
      <c r="F82" s="8" t="s">
        <v>38</v>
      </c>
      <c r="G82" s="8">
        <v>1000</v>
      </c>
      <c r="H82" s="8">
        <v>100</v>
      </c>
      <c r="I82" s="8">
        <v>0.8</v>
      </c>
      <c r="J82" s="8">
        <v>0.1</v>
      </c>
      <c r="K82" s="8" t="s">
        <v>48</v>
      </c>
      <c r="L82" s="8" t="s">
        <v>60</v>
      </c>
      <c r="M82" s="9" t="s">
        <v>61</v>
      </c>
      <c r="N82" s="8" t="s">
        <v>62</v>
      </c>
      <c r="O82" s="8" t="str">
        <f>CONCATENATE("I'm using mealpy library to solve Travelling Salesman Problem. My problem instance has ", D82,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14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83" spans="1:15" x14ac:dyDescent="0.25">
      <c r="A83" s="8" t="s">
        <v>80</v>
      </c>
      <c r="B83" s="8" t="s">
        <v>67</v>
      </c>
      <c r="C83" s="8" t="s">
        <v>4</v>
      </c>
      <c r="D83" s="8">
        <v>16</v>
      </c>
      <c r="E83" s="8" t="s">
        <v>110</v>
      </c>
      <c r="F83" s="8" t="s">
        <v>38</v>
      </c>
      <c r="G83" s="8">
        <v>1000</v>
      </c>
      <c r="H83" s="8">
        <v>50</v>
      </c>
      <c r="I83" s="8">
        <v>0.8</v>
      </c>
      <c r="J83" s="8">
        <v>0.1</v>
      </c>
      <c r="K83" s="8" t="s">
        <v>48</v>
      </c>
      <c r="L83" s="8" t="s">
        <v>63</v>
      </c>
      <c r="M83" s="9" t="s">
        <v>50</v>
      </c>
      <c r="N83" s="8" t="s">
        <v>62</v>
      </c>
      <c r="O83" s="8" t="str">
        <f>CONCATENATE("I'm using mealpy library to solve Travelling Salesman Problem. My problem instance has ", D83,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16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84" spans="1:15" x14ac:dyDescent="0.25">
      <c r="A84" s="8" t="s">
        <v>80</v>
      </c>
      <c r="B84" s="8" t="s">
        <v>67</v>
      </c>
      <c r="C84" s="8" t="s">
        <v>15</v>
      </c>
      <c r="D84" s="8">
        <v>20</v>
      </c>
      <c r="E84" s="8" t="s">
        <v>110</v>
      </c>
      <c r="F84" s="8" t="s">
        <v>38</v>
      </c>
      <c r="G84" s="8">
        <v>1000</v>
      </c>
      <c r="H84" s="8">
        <v>100</v>
      </c>
      <c r="I84" s="8">
        <v>0.8</v>
      </c>
      <c r="J84" s="8">
        <v>0.1</v>
      </c>
      <c r="K84" s="8" t="s">
        <v>48</v>
      </c>
      <c r="L84" s="8" t="s">
        <v>60</v>
      </c>
      <c r="M84" s="9" t="s">
        <v>61</v>
      </c>
      <c r="N84" s="8" t="s">
        <v>62</v>
      </c>
      <c r="O84" s="8" t="str">
        <f>CONCATENATE("I'm using mealpy library to solve Travelling Salesman Problem. My problem instance has ", D84,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20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85" spans="1:15" x14ac:dyDescent="0.25">
      <c r="A85" s="8" t="s">
        <v>80</v>
      </c>
      <c r="B85" s="8" t="s">
        <v>67</v>
      </c>
      <c r="C85" s="8" t="s">
        <v>11</v>
      </c>
      <c r="D85" s="8">
        <v>22</v>
      </c>
      <c r="E85" s="8" t="s">
        <v>110</v>
      </c>
      <c r="F85" s="8" t="s">
        <v>38</v>
      </c>
      <c r="G85" s="8">
        <v>1000</v>
      </c>
      <c r="H85" s="8">
        <v>100</v>
      </c>
      <c r="I85" s="8">
        <v>0.8</v>
      </c>
      <c r="J85" s="8">
        <v>0.1</v>
      </c>
      <c r="K85" s="8" t="s">
        <v>48</v>
      </c>
      <c r="L85" s="8" t="s">
        <v>60</v>
      </c>
      <c r="M85" s="9" t="s">
        <v>61</v>
      </c>
      <c r="N85" s="8" t="s">
        <v>62</v>
      </c>
      <c r="O85" s="8" t="str">
        <f>CONCATENATE("I'm using mealpy library to solve Travelling Salesman Problem. My problem instance has ", D85,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22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86" spans="1:15" x14ac:dyDescent="0.25">
      <c r="A86" s="8" t="s">
        <v>80</v>
      </c>
      <c r="B86" s="8" t="s">
        <v>67</v>
      </c>
      <c r="C86" s="8" t="s">
        <v>12</v>
      </c>
      <c r="D86" s="8">
        <v>29</v>
      </c>
      <c r="E86" s="8" t="s">
        <v>110</v>
      </c>
      <c r="F86" s="8" t="s">
        <v>38</v>
      </c>
      <c r="G86" s="8">
        <v>1000</v>
      </c>
      <c r="H86" s="8">
        <v>50</v>
      </c>
      <c r="I86" s="8">
        <v>0.8</v>
      </c>
      <c r="J86" s="8">
        <v>0.1</v>
      </c>
      <c r="K86" s="8" t="s">
        <v>48</v>
      </c>
      <c r="L86" s="8" t="s">
        <v>63</v>
      </c>
      <c r="M86" s="9" t="s">
        <v>50</v>
      </c>
      <c r="N86" s="8" t="s">
        <v>62</v>
      </c>
      <c r="O86" s="8" t="str">
        <f>CONCATENATE("I'm using mealpy library to solve Travelling Salesman Problem. My problem instance has ", D86,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29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87" spans="1:15" x14ac:dyDescent="0.25">
      <c r="A87" s="8" t="s">
        <v>80</v>
      </c>
      <c r="B87" s="8" t="s">
        <v>67</v>
      </c>
      <c r="C87" s="8" t="s">
        <v>13</v>
      </c>
      <c r="D87" s="8">
        <v>30</v>
      </c>
      <c r="E87" s="8" t="s">
        <v>110</v>
      </c>
      <c r="F87" s="8" t="s">
        <v>38</v>
      </c>
      <c r="G87" s="8">
        <v>500</v>
      </c>
      <c r="H87" s="8">
        <v>100</v>
      </c>
      <c r="I87" s="8">
        <v>0.8</v>
      </c>
      <c r="J87" s="8">
        <v>0.1</v>
      </c>
      <c r="K87" s="8" t="s">
        <v>48</v>
      </c>
      <c r="L87" s="8" t="s">
        <v>60</v>
      </c>
      <c r="M87" s="9" t="s">
        <v>61</v>
      </c>
      <c r="N87" s="8" t="s">
        <v>62</v>
      </c>
      <c r="O87" s="8" t="str">
        <f>CONCATENATE("I'm using mealpy library to solve Travelling Salesman Problem. My problem instance has ", D87,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30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88" spans="1:15" x14ac:dyDescent="0.25">
      <c r="A88" s="8" t="s">
        <v>80</v>
      </c>
      <c r="B88" s="8" t="s">
        <v>67</v>
      </c>
      <c r="C88" s="8" t="s">
        <v>14</v>
      </c>
      <c r="D88" s="8">
        <v>48</v>
      </c>
      <c r="E88" s="8" t="s">
        <v>110</v>
      </c>
      <c r="F88" s="8" t="s">
        <v>38</v>
      </c>
      <c r="G88" s="8">
        <v>100</v>
      </c>
      <c r="H88" s="8">
        <v>100</v>
      </c>
      <c r="I88" s="8">
        <v>0.8</v>
      </c>
      <c r="J88" s="8">
        <v>0.1</v>
      </c>
      <c r="K88" s="8" t="s">
        <v>48</v>
      </c>
      <c r="L88" s="8" t="s">
        <v>60</v>
      </c>
      <c r="M88" s="9" t="s">
        <v>50</v>
      </c>
      <c r="N88" s="8" t="s">
        <v>62</v>
      </c>
      <c r="O88" s="8" t="str">
        <f>CONCATENATE("I'm using mealpy library to solve Travelling Salesman Problem. My problem instance has ", D88,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48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89" spans="1:15" x14ac:dyDescent="0.25">
      <c r="A89" s="8" t="s">
        <v>80</v>
      </c>
      <c r="B89" s="8" t="s">
        <v>67</v>
      </c>
      <c r="C89" s="8" t="s">
        <v>83</v>
      </c>
      <c r="D89" s="8">
        <v>50</v>
      </c>
      <c r="E89" s="8" t="s">
        <v>110</v>
      </c>
      <c r="F89" s="8" t="s">
        <v>38</v>
      </c>
      <c r="G89" s="8">
        <v>1000</v>
      </c>
      <c r="H89" s="8">
        <v>100</v>
      </c>
      <c r="I89" s="8">
        <v>0.8</v>
      </c>
      <c r="J89" s="8">
        <v>0.2</v>
      </c>
      <c r="K89" s="8" t="s">
        <v>48</v>
      </c>
      <c r="L89" s="8" t="s">
        <v>60</v>
      </c>
      <c r="M89" s="9" t="s">
        <v>50</v>
      </c>
      <c r="N89" s="8" t="s">
        <v>62</v>
      </c>
      <c r="O89" s="8" t="str">
        <f>CONCATENATE("I'm using mealpy library to solve Travelling Salesman Problem. My problem instance has ", D89,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50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90" spans="1:15" x14ac:dyDescent="0.25">
      <c r="A90" s="8" t="s">
        <v>80</v>
      </c>
      <c r="B90" s="8" t="s">
        <v>67</v>
      </c>
      <c r="C90" s="8" t="s">
        <v>84</v>
      </c>
      <c r="D90" s="8">
        <v>75</v>
      </c>
      <c r="E90" s="8" t="s">
        <v>110</v>
      </c>
      <c r="F90" s="8" t="s">
        <v>38</v>
      </c>
      <c r="G90" s="8">
        <v>1000</v>
      </c>
      <c r="H90" s="8">
        <v>100</v>
      </c>
      <c r="I90" s="8">
        <v>0.8</v>
      </c>
      <c r="J90" s="8">
        <v>0.2</v>
      </c>
      <c r="K90" s="8" t="s">
        <v>48</v>
      </c>
      <c r="L90" s="8" t="s">
        <v>63</v>
      </c>
      <c r="M90" s="9" t="s">
        <v>50</v>
      </c>
      <c r="N90" s="8" t="s">
        <v>62</v>
      </c>
      <c r="O90" s="8" t="str">
        <f>CONCATENATE("I'm using mealpy library to solve Travelling Salesman Problem. My problem instance has ", D90,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75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row r="91" spans="1:15" x14ac:dyDescent="0.25">
      <c r="A91" s="8" t="s">
        <v>80</v>
      </c>
      <c r="B91" s="8" t="s">
        <v>67</v>
      </c>
      <c r="C91" s="8" t="s">
        <v>82</v>
      </c>
      <c r="D91" s="8">
        <v>127</v>
      </c>
      <c r="E91" s="8" t="s">
        <v>110</v>
      </c>
      <c r="F91" s="8" t="s">
        <v>38</v>
      </c>
      <c r="G91" s="8">
        <v>1000</v>
      </c>
      <c r="H91" s="8">
        <v>50</v>
      </c>
      <c r="I91" s="8">
        <v>0.8</v>
      </c>
      <c r="J91" s="8">
        <v>0.1</v>
      </c>
      <c r="K91" s="8" t="s">
        <v>48</v>
      </c>
      <c r="L91" s="8" t="s">
        <v>63</v>
      </c>
      <c r="M91" s="9" t="s">
        <v>50</v>
      </c>
      <c r="N91" s="8" t="s">
        <v>62</v>
      </c>
      <c r="O91" s="8" t="str">
        <f>CONCATENATE("I'm using mealpy library to solve Travelling Salesman Problem. My problem instance has ", D91, " cities. I want to use Genetic Algorithm to solve it.", "Mealpy's implementation of GA takes following parameters: epoch (int), pop_size (int), pc (float), pm (float), selection (“roulette”, “tournament”, “random”), ", " crossover (“one point”, “multi points”, “uniform”, “arithmetic”), mutation multipoints (bool), mutation (“flip”, “swap”, “scramble”, “inversion”)", ". In brackets I wrote possible parameter values or its type. Suggest me parameter values in this problem setup. Give exact values and present them in python dictionary.")</f>
        <v>I'm using mealpy library to solve Travelling Salesman Problem. My problem instance has 127 cities. I want to use Genetic Algorithm to solve it.Mealpy's implementation of GA takes following parameters: epoch (int), pop_size (int), pc (float), pm (float), selection (“roulette”, “tournament”, “random”),  crossover (“one point”, “multi points”, “uniform”, “arithmetic”), mutation multipoints (bool), mutation (“flip”, “swap”, “scramble”, “inversion”). In brackets I wrote possible parameter values or its type. Suggest me parameter values in this problem setup. Give exact values and present them in python dictionary.</v>
      </c>
    </row>
  </sheetData>
  <sortState xmlns:xlrd2="http://schemas.microsoft.com/office/spreadsheetml/2017/richdata2" ref="A2:O91">
    <sortCondition ref="F2:F91"/>
    <sortCondition ref="E2:E91"/>
    <sortCondition ref="D2:D91"/>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ADC9A-E878-2C44-9A11-2DC5E4A25B10}">
  <dimension ref="A1:K110"/>
  <sheetViews>
    <sheetView workbookViewId="0">
      <selection activeCell="F17" sqref="F17"/>
    </sheetView>
  </sheetViews>
  <sheetFormatPr defaultColWidth="11" defaultRowHeight="15.75" x14ac:dyDescent="0.25"/>
  <sheetData>
    <row r="1" spans="1:11" x14ac:dyDescent="0.25">
      <c r="A1" t="s">
        <v>0</v>
      </c>
      <c r="B1" t="s">
        <v>39</v>
      </c>
      <c r="C1" t="s">
        <v>1</v>
      </c>
      <c r="D1" t="s">
        <v>108</v>
      </c>
      <c r="E1" t="s">
        <v>3</v>
      </c>
      <c r="F1" t="s">
        <v>37</v>
      </c>
      <c r="G1" t="s">
        <v>40</v>
      </c>
      <c r="H1" t="s">
        <v>41</v>
      </c>
      <c r="I1" t="s">
        <v>54</v>
      </c>
      <c r="J1" t="s">
        <v>55</v>
      </c>
      <c r="K1" t="s">
        <v>106</v>
      </c>
    </row>
    <row r="2" spans="1:11" x14ac:dyDescent="0.25">
      <c r="A2" t="s">
        <v>80</v>
      </c>
      <c r="B2" t="s">
        <v>69</v>
      </c>
      <c r="C2" t="s">
        <v>10</v>
      </c>
      <c r="D2" s="3">
        <v>14</v>
      </c>
      <c r="E2" t="s">
        <v>107</v>
      </c>
      <c r="F2" t="s">
        <v>38</v>
      </c>
      <c r="G2">
        <v>500</v>
      </c>
      <c r="H2">
        <v>50</v>
      </c>
      <c r="I2">
        <v>1000</v>
      </c>
      <c r="J2">
        <v>0.1</v>
      </c>
      <c r="K2" t="str">
        <f t="shared" ref="K2:K41" si="0">CONCATENATE("I'm using mealpy library to solve Travelling Salesman Problem. My problem instance has ", D2, " cities. I want to use Simulated Annealing to solve it.", "Mealpy's implementation of SA takes following parameters: epoch (int), pop_size (int), temp_init (int), step_size (int). ", " In brackets I wrote possible parameter values or its type. Suggest me parameter values in this problem setup. Give exact values and present them in python dictionary.")</f>
        <v>I'm using mealpy library to solve Travelling Salesman Problem. My problem instance has 14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3" spans="1:11" x14ac:dyDescent="0.25">
      <c r="A3" t="s">
        <v>80</v>
      </c>
      <c r="B3" t="s">
        <v>69</v>
      </c>
      <c r="C3" t="s">
        <v>4</v>
      </c>
      <c r="D3" s="3">
        <v>16</v>
      </c>
      <c r="E3" t="s">
        <v>107</v>
      </c>
      <c r="F3" t="s">
        <v>38</v>
      </c>
      <c r="G3">
        <v>1000</v>
      </c>
      <c r="H3">
        <v>50</v>
      </c>
      <c r="I3">
        <v>100</v>
      </c>
      <c r="J3">
        <v>1</v>
      </c>
      <c r="K3" t="str">
        <f t="shared" si="0"/>
        <v>I'm using mealpy library to solve Travelling Salesman Problem. My problem instance has 16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4" spans="1:11" x14ac:dyDescent="0.25">
      <c r="A4" t="s">
        <v>80</v>
      </c>
      <c r="B4" t="s">
        <v>69</v>
      </c>
      <c r="C4" t="s">
        <v>15</v>
      </c>
      <c r="D4" s="3">
        <v>20</v>
      </c>
      <c r="E4" t="s">
        <v>107</v>
      </c>
      <c r="F4" t="s">
        <v>38</v>
      </c>
      <c r="G4">
        <v>1000</v>
      </c>
      <c r="H4">
        <v>50</v>
      </c>
      <c r="I4">
        <v>1000</v>
      </c>
      <c r="J4">
        <v>0.1</v>
      </c>
      <c r="K4" t="str">
        <f t="shared" si="0"/>
        <v>I'm using mealpy library to solve Travelling Salesman Problem. My problem instance has 20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5" spans="1:11" x14ac:dyDescent="0.25">
      <c r="A5" t="s">
        <v>80</v>
      </c>
      <c r="B5" t="s">
        <v>69</v>
      </c>
      <c r="C5" t="s">
        <v>11</v>
      </c>
      <c r="D5" s="3">
        <v>22</v>
      </c>
      <c r="E5" t="s">
        <v>107</v>
      </c>
      <c r="F5" t="s">
        <v>38</v>
      </c>
      <c r="G5">
        <v>1000</v>
      </c>
      <c r="H5">
        <v>50</v>
      </c>
      <c r="I5">
        <v>100</v>
      </c>
      <c r="J5">
        <v>0.1</v>
      </c>
      <c r="K5" t="str">
        <f t="shared" si="0"/>
        <v>I'm using mealpy library to solve Travelling Salesman Problem. My problem instance has 22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6" spans="1:11" x14ac:dyDescent="0.25">
      <c r="A6" t="s">
        <v>80</v>
      </c>
      <c r="B6" t="s">
        <v>69</v>
      </c>
      <c r="C6" t="s">
        <v>12</v>
      </c>
      <c r="D6" s="3">
        <v>29</v>
      </c>
      <c r="E6" t="s">
        <v>107</v>
      </c>
      <c r="F6" t="s">
        <v>38</v>
      </c>
      <c r="G6">
        <v>1000</v>
      </c>
      <c r="H6">
        <v>50</v>
      </c>
      <c r="I6">
        <v>10000</v>
      </c>
      <c r="J6">
        <v>0.1</v>
      </c>
      <c r="K6" t="str">
        <f t="shared" si="0"/>
        <v>I'm using mealpy library to solve Travelling Salesman Problem. My problem instance has 29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7" spans="1:11" x14ac:dyDescent="0.25">
      <c r="A7" t="s">
        <v>80</v>
      </c>
      <c r="B7" t="s">
        <v>69</v>
      </c>
      <c r="C7" t="s">
        <v>13</v>
      </c>
      <c r="D7" s="3">
        <v>30</v>
      </c>
      <c r="E7" t="s">
        <v>107</v>
      </c>
      <c r="F7" t="s">
        <v>38</v>
      </c>
      <c r="G7">
        <v>3000</v>
      </c>
      <c r="H7">
        <v>50</v>
      </c>
      <c r="I7">
        <v>1000</v>
      </c>
      <c r="J7">
        <v>0.1</v>
      </c>
      <c r="K7" t="str">
        <f t="shared" si="0"/>
        <v>I'm using mealpy library to solve Travelling Salesman Problem. My problem instance has 30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8" spans="1:11" x14ac:dyDescent="0.25">
      <c r="A8" t="s">
        <v>80</v>
      </c>
      <c r="B8" t="s">
        <v>69</v>
      </c>
      <c r="C8" t="s">
        <v>14</v>
      </c>
      <c r="D8" s="3">
        <v>48</v>
      </c>
      <c r="E8" t="s">
        <v>107</v>
      </c>
      <c r="F8" t="s">
        <v>38</v>
      </c>
      <c r="G8">
        <v>1000</v>
      </c>
      <c r="H8">
        <v>50</v>
      </c>
      <c r="I8">
        <v>1000</v>
      </c>
      <c r="J8">
        <v>0.1</v>
      </c>
      <c r="K8" t="str">
        <f t="shared" si="0"/>
        <v>I'm using mealpy library to solve Travelling Salesman Problem. My problem instance has 48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9" spans="1:11" x14ac:dyDescent="0.25">
      <c r="A9" t="s">
        <v>80</v>
      </c>
      <c r="B9" t="s">
        <v>69</v>
      </c>
      <c r="C9" t="s">
        <v>83</v>
      </c>
      <c r="D9" s="3">
        <v>50</v>
      </c>
      <c r="E9" t="s">
        <v>107</v>
      </c>
      <c r="F9" t="s">
        <v>38</v>
      </c>
      <c r="G9">
        <v>1000</v>
      </c>
      <c r="H9">
        <v>50</v>
      </c>
      <c r="I9">
        <v>1000</v>
      </c>
      <c r="J9">
        <v>0.1</v>
      </c>
      <c r="K9" t="str">
        <f t="shared" si="0"/>
        <v>I'm using mealpy library to solve Travelling Salesman Problem. My problem instance has 50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10" spans="1:11" x14ac:dyDescent="0.25">
      <c r="A10" t="s">
        <v>80</v>
      </c>
      <c r="B10" t="s">
        <v>69</v>
      </c>
      <c r="C10" t="s">
        <v>84</v>
      </c>
      <c r="D10" s="3">
        <v>75</v>
      </c>
      <c r="E10" t="s">
        <v>107</v>
      </c>
      <c r="F10" t="s">
        <v>38</v>
      </c>
      <c r="G10">
        <v>500</v>
      </c>
      <c r="H10">
        <v>20</v>
      </c>
      <c r="I10">
        <v>1000</v>
      </c>
      <c r="J10">
        <v>5</v>
      </c>
      <c r="K10" t="str">
        <f t="shared" si="0"/>
        <v>I'm using mealpy library to solve Travelling Salesman Problem. My problem instance has 75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11" spans="1:11" x14ac:dyDescent="0.25">
      <c r="A11" t="s">
        <v>80</v>
      </c>
      <c r="B11" t="s">
        <v>69</v>
      </c>
      <c r="C11" t="s">
        <v>82</v>
      </c>
      <c r="D11">
        <v>127</v>
      </c>
      <c r="E11" t="s">
        <v>107</v>
      </c>
      <c r="F11" t="s">
        <v>38</v>
      </c>
      <c r="G11">
        <v>1000</v>
      </c>
      <c r="H11">
        <v>50</v>
      </c>
      <c r="I11">
        <v>1000</v>
      </c>
      <c r="J11">
        <v>5</v>
      </c>
      <c r="K11" t="str">
        <f t="shared" si="0"/>
        <v>I'm using mealpy library to solve Travelling Salesman Problem. My problem instance has 127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12" spans="1:11" x14ac:dyDescent="0.25">
      <c r="A12" t="s">
        <v>80</v>
      </c>
      <c r="B12" t="s">
        <v>69</v>
      </c>
      <c r="C12" t="s">
        <v>10</v>
      </c>
      <c r="D12" s="3">
        <v>14</v>
      </c>
      <c r="E12" t="s">
        <v>109</v>
      </c>
      <c r="F12" t="s">
        <v>38</v>
      </c>
      <c r="G12">
        <v>1000</v>
      </c>
      <c r="H12">
        <v>2</v>
      </c>
      <c r="I12">
        <v>1000</v>
      </c>
      <c r="J12">
        <v>1</v>
      </c>
      <c r="K12" t="str">
        <f t="shared" si="0"/>
        <v>I'm using mealpy library to solve Travelling Salesman Problem. My problem instance has 14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13" spans="1:11" x14ac:dyDescent="0.25">
      <c r="A13" t="s">
        <v>80</v>
      </c>
      <c r="B13" t="s">
        <v>69</v>
      </c>
      <c r="C13" t="s">
        <v>4</v>
      </c>
      <c r="D13" s="3">
        <v>16</v>
      </c>
      <c r="E13" t="s">
        <v>109</v>
      </c>
      <c r="F13" t="s">
        <v>38</v>
      </c>
      <c r="G13">
        <v>1000</v>
      </c>
      <c r="H13">
        <v>30</v>
      </c>
      <c r="I13">
        <v>1000</v>
      </c>
      <c r="J13">
        <v>2</v>
      </c>
      <c r="K13" t="str">
        <f t="shared" si="0"/>
        <v>I'm using mealpy library to solve Travelling Salesman Problem. My problem instance has 16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14" spans="1:11" x14ac:dyDescent="0.25">
      <c r="A14" t="s">
        <v>80</v>
      </c>
      <c r="B14" t="s">
        <v>69</v>
      </c>
      <c r="C14" t="s">
        <v>15</v>
      </c>
      <c r="D14" s="3">
        <v>20</v>
      </c>
      <c r="E14" t="s">
        <v>109</v>
      </c>
      <c r="F14" t="s">
        <v>38</v>
      </c>
      <c r="G14">
        <v>1000</v>
      </c>
      <c r="H14">
        <v>50</v>
      </c>
      <c r="I14">
        <v>1000</v>
      </c>
      <c r="J14">
        <v>1</v>
      </c>
      <c r="K14" t="str">
        <f t="shared" si="0"/>
        <v>I'm using mealpy library to solve Travelling Salesman Problem. My problem instance has 20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15" spans="1:11" x14ac:dyDescent="0.25">
      <c r="A15" t="s">
        <v>80</v>
      </c>
      <c r="B15" t="s">
        <v>69</v>
      </c>
      <c r="C15" t="s">
        <v>11</v>
      </c>
      <c r="D15" s="3">
        <v>22</v>
      </c>
      <c r="E15" t="s">
        <v>109</v>
      </c>
      <c r="F15" t="s">
        <v>38</v>
      </c>
      <c r="G15">
        <v>1000</v>
      </c>
      <c r="H15">
        <v>50</v>
      </c>
      <c r="I15">
        <v>1000</v>
      </c>
      <c r="J15">
        <v>5</v>
      </c>
      <c r="K15" t="str">
        <f t="shared" si="0"/>
        <v>I'm using mealpy library to solve Travelling Salesman Problem. My problem instance has 22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16" spans="1:11" x14ac:dyDescent="0.25">
      <c r="A16" t="s">
        <v>80</v>
      </c>
      <c r="B16" t="s">
        <v>69</v>
      </c>
      <c r="C16" t="s">
        <v>12</v>
      </c>
      <c r="D16" s="3">
        <v>29</v>
      </c>
      <c r="E16" t="s">
        <v>109</v>
      </c>
      <c r="F16" t="s">
        <v>38</v>
      </c>
      <c r="G16">
        <v>1000</v>
      </c>
      <c r="H16">
        <v>50</v>
      </c>
      <c r="I16">
        <v>1000</v>
      </c>
      <c r="J16">
        <v>1</v>
      </c>
      <c r="K16" t="str">
        <f t="shared" si="0"/>
        <v>I'm using mealpy library to solve Travelling Salesman Problem. My problem instance has 29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17" spans="1:11" x14ac:dyDescent="0.25">
      <c r="A17" t="s">
        <v>80</v>
      </c>
      <c r="B17" t="s">
        <v>69</v>
      </c>
      <c r="C17" t="s">
        <v>13</v>
      </c>
      <c r="D17" s="3">
        <v>30</v>
      </c>
      <c r="E17" t="s">
        <v>109</v>
      </c>
      <c r="F17" t="s">
        <v>38</v>
      </c>
      <c r="G17">
        <v>1000</v>
      </c>
      <c r="H17">
        <v>50</v>
      </c>
      <c r="I17">
        <v>1000</v>
      </c>
      <c r="J17">
        <v>5</v>
      </c>
      <c r="K17" t="str">
        <f t="shared" si="0"/>
        <v>I'm using mealpy library to solve Travelling Salesman Problem. My problem instance has 30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18" spans="1:11" x14ac:dyDescent="0.25">
      <c r="A18" t="s">
        <v>80</v>
      </c>
      <c r="B18" t="s">
        <v>69</v>
      </c>
      <c r="C18" t="s">
        <v>14</v>
      </c>
      <c r="D18" s="3">
        <v>48</v>
      </c>
      <c r="E18" t="s">
        <v>109</v>
      </c>
      <c r="F18" t="s">
        <v>38</v>
      </c>
      <c r="G18">
        <v>1000</v>
      </c>
      <c r="H18">
        <v>50</v>
      </c>
      <c r="I18">
        <v>1000</v>
      </c>
      <c r="J18">
        <v>5</v>
      </c>
      <c r="K18" t="str">
        <f t="shared" si="0"/>
        <v>I'm using mealpy library to solve Travelling Salesman Problem. My problem instance has 48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19" spans="1:11" x14ac:dyDescent="0.25">
      <c r="A19" t="s">
        <v>80</v>
      </c>
      <c r="B19" t="s">
        <v>69</v>
      </c>
      <c r="C19" t="s">
        <v>83</v>
      </c>
      <c r="D19" s="3">
        <v>50</v>
      </c>
      <c r="E19" t="s">
        <v>109</v>
      </c>
      <c r="F19" t="s">
        <v>38</v>
      </c>
      <c r="G19">
        <v>1000</v>
      </c>
      <c r="H19">
        <v>20</v>
      </c>
      <c r="I19">
        <v>1000</v>
      </c>
      <c r="J19">
        <v>1</v>
      </c>
      <c r="K19" t="str">
        <f t="shared" si="0"/>
        <v>I'm using mealpy library to solve Travelling Salesman Problem. My problem instance has 50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20" spans="1:11" x14ac:dyDescent="0.25">
      <c r="A20" t="s">
        <v>80</v>
      </c>
      <c r="B20" t="s">
        <v>69</v>
      </c>
      <c r="C20" t="s">
        <v>84</v>
      </c>
      <c r="D20" s="3">
        <v>75</v>
      </c>
      <c r="E20" t="s">
        <v>109</v>
      </c>
      <c r="F20" t="s">
        <v>38</v>
      </c>
      <c r="G20">
        <v>500</v>
      </c>
      <c r="H20">
        <v>14</v>
      </c>
      <c r="I20">
        <v>1000</v>
      </c>
      <c r="J20">
        <v>5</v>
      </c>
      <c r="K20" t="str">
        <f t="shared" si="0"/>
        <v>I'm using mealpy library to solve Travelling Salesman Problem. My problem instance has 75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21" spans="1:11" x14ac:dyDescent="0.25">
      <c r="A21" t="s">
        <v>80</v>
      </c>
      <c r="B21" t="s">
        <v>69</v>
      </c>
      <c r="C21" t="s">
        <v>82</v>
      </c>
      <c r="D21">
        <v>127</v>
      </c>
      <c r="E21" t="s">
        <v>109</v>
      </c>
      <c r="F21" t="s">
        <v>38</v>
      </c>
      <c r="G21">
        <v>500</v>
      </c>
      <c r="H21">
        <v>16</v>
      </c>
      <c r="I21">
        <v>1000</v>
      </c>
      <c r="J21">
        <v>10</v>
      </c>
      <c r="K21" t="str">
        <f t="shared" si="0"/>
        <v>I'm using mealpy library to solve Travelling Salesman Problem. My problem instance has 127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22" spans="1:11" x14ac:dyDescent="0.25">
      <c r="A22" t="s">
        <v>80</v>
      </c>
      <c r="B22" t="s">
        <v>69</v>
      </c>
      <c r="C22" t="s">
        <v>10</v>
      </c>
      <c r="D22" s="3">
        <v>14</v>
      </c>
      <c r="E22" t="s">
        <v>8</v>
      </c>
      <c r="F22" t="s">
        <v>38</v>
      </c>
      <c r="G22">
        <v>500</v>
      </c>
      <c r="H22">
        <v>20</v>
      </c>
      <c r="I22">
        <v>1000</v>
      </c>
      <c r="J22">
        <v>50</v>
      </c>
      <c r="K22" t="str">
        <f t="shared" si="0"/>
        <v>I'm using mealpy library to solve Travelling Salesman Problem. My problem instance has 14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23" spans="1:11" x14ac:dyDescent="0.25">
      <c r="A23" t="s">
        <v>80</v>
      </c>
      <c r="B23" t="s">
        <v>69</v>
      </c>
      <c r="C23" t="s">
        <v>4</v>
      </c>
      <c r="D23" s="3">
        <v>16</v>
      </c>
      <c r="E23" t="s">
        <v>8</v>
      </c>
      <c r="F23" t="s">
        <v>38</v>
      </c>
      <c r="G23">
        <v>500</v>
      </c>
      <c r="H23">
        <v>22</v>
      </c>
      <c r="I23">
        <v>1000</v>
      </c>
      <c r="J23">
        <v>10</v>
      </c>
      <c r="K23" t="str">
        <f t="shared" si="0"/>
        <v>I'm using mealpy library to solve Travelling Salesman Problem. My problem instance has 16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24" spans="1:11" x14ac:dyDescent="0.25">
      <c r="A24" t="s">
        <v>80</v>
      </c>
      <c r="B24" t="s">
        <v>69</v>
      </c>
      <c r="C24" t="s">
        <v>15</v>
      </c>
      <c r="D24" s="3">
        <v>20</v>
      </c>
      <c r="E24" t="s">
        <v>8</v>
      </c>
      <c r="F24" t="s">
        <v>38</v>
      </c>
      <c r="G24">
        <v>500</v>
      </c>
      <c r="H24">
        <v>30</v>
      </c>
      <c r="I24">
        <v>100</v>
      </c>
      <c r="J24">
        <v>5</v>
      </c>
      <c r="K24" t="str">
        <f t="shared" si="0"/>
        <v>I'm using mealpy library to solve Travelling Salesman Problem. My problem instance has 20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25" spans="1:11" x14ac:dyDescent="0.25">
      <c r="A25" t="s">
        <v>80</v>
      </c>
      <c r="B25" t="s">
        <v>69</v>
      </c>
      <c r="C25" t="s">
        <v>11</v>
      </c>
      <c r="D25" s="3">
        <v>22</v>
      </c>
      <c r="E25" t="s">
        <v>8</v>
      </c>
      <c r="F25" t="s">
        <v>38</v>
      </c>
      <c r="G25">
        <v>500</v>
      </c>
      <c r="H25">
        <v>30</v>
      </c>
      <c r="I25">
        <v>100</v>
      </c>
      <c r="J25">
        <v>5</v>
      </c>
      <c r="K25" t="str">
        <f t="shared" si="0"/>
        <v>I'm using mealpy library to solve Travelling Salesman Problem. My problem instance has 22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26" spans="1:11" x14ac:dyDescent="0.25">
      <c r="A26" t="s">
        <v>80</v>
      </c>
      <c r="B26" t="s">
        <v>69</v>
      </c>
      <c r="C26" t="s">
        <v>12</v>
      </c>
      <c r="D26" s="3">
        <v>29</v>
      </c>
      <c r="E26" t="s">
        <v>8</v>
      </c>
      <c r="F26" t="s">
        <v>38</v>
      </c>
      <c r="G26">
        <v>500</v>
      </c>
      <c r="H26">
        <v>48</v>
      </c>
      <c r="I26">
        <v>1000</v>
      </c>
      <c r="J26">
        <v>10</v>
      </c>
      <c r="K26" t="str">
        <f t="shared" si="0"/>
        <v>I'm using mealpy library to solve Travelling Salesman Problem. My problem instance has 29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27" spans="1:11" x14ac:dyDescent="0.25">
      <c r="A27" t="s">
        <v>80</v>
      </c>
      <c r="B27" t="s">
        <v>69</v>
      </c>
      <c r="C27" t="s">
        <v>13</v>
      </c>
      <c r="D27" s="3">
        <v>30</v>
      </c>
      <c r="E27" t="s">
        <v>8</v>
      </c>
      <c r="F27" t="s">
        <v>38</v>
      </c>
      <c r="G27">
        <v>500</v>
      </c>
      <c r="H27">
        <v>25</v>
      </c>
      <c r="I27">
        <v>100</v>
      </c>
      <c r="J27">
        <v>5</v>
      </c>
      <c r="K27" t="str">
        <f t="shared" si="0"/>
        <v>I'm using mealpy library to solve Travelling Salesman Problem. My problem instance has 30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28" spans="1:11" x14ac:dyDescent="0.25">
      <c r="A28" t="s">
        <v>80</v>
      </c>
      <c r="B28" t="s">
        <v>69</v>
      </c>
      <c r="C28" t="s">
        <v>14</v>
      </c>
      <c r="D28" s="3">
        <v>48</v>
      </c>
      <c r="E28" t="s">
        <v>8</v>
      </c>
      <c r="F28" t="s">
        <v>38</v>
      </c>
      <c r="G28">
        <v>500</v>
      </c>
      <c r="H28">
        <v>75</v>
      </c>
      <c r="I28">
        <v>100</v>
      </c>
      <c r="J28">
        <v>2</v>
      </c>
      <c r="K28" t="str">
        <f t="shared" si="0"/>
        <v>I'm using mealpy library to solve Travelling Salesman Problem. My problem instance has 48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29" spans="1:11" x14ac:dyDescent="0.25">
      <c r="A29" t="s">
        <v>80</v>
      </c>
      <c r="B29" t="s">
        <v>69</v>
      </c>
      <c r="C29" t="s">
        <v>83</v>
      </c>
      <c r="D29" s="3">
        <v>50</v>
      </c>
      <c r="E29" t="s">
        <v>8</v>
      </c>
      <c r="F29" t="s">
        <v>38</v>
      </c>
      <c r="G29">
        <v>500</v>
      </c>
      <c r="H29">
        <v>50</v>
      </c>
      <c r="I29">
        <v>1000</v>
      </c>
      <c r="J29">
        <v>5</v>
      </c>
      <c r="K29" t="str">
        <f t="shared" si="0"/>
        <v>I'm using mealpy library to solve Travelling Salesman Problem. My problem instance has 50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30" spans="1:11" x14ac:dyDescent="0.25">
      <c r="A30" t="s">
        <v>80</v>
      </c>
      <c r="B30" t="s">
        <v>69</v>
      </c>
      <c r="C30" t="s">
        <v>84</v>
      </c>
      <c r="D30" s="3">
        <v>75</v>
      </c>
      <c r="E30" t="s">
        <v>8</v>
      </c>
      <c r="F30" t="s">
        <v>38</v>
      </c>
      <c r="G30">
        <v>500</v>
      </c>
      <c r="H30">
        <v>10</v>
      </c>
      <c r="I30">
        <v>100</v>
      </c>
      <c r="J30">
        <v>0.95</v>
      </c>
      <c r="K30" t="str">
        <f t="shared" si="0"/>
        <v>I'm using mealpy library to solve Travelling Salesman Problem. My problem instance has 75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31" spans="1:11" x14ac:dyDescent="0.25">
      <c r="A31" t="s">
        <v>80</v>
      </c>
      <c r="B31" t="s">
        <v>69</v>
      </c>
      <c r="C31" t="s">
        <v>82</v>
      </c>
      <c r="D31">
        <v>127</v>
      </c>
      <c r="E31" t="s">
        <v>8</v>
      </c>
      <c r="F31" t="s">
        <v>38</v>
      </c>
      <c r="G31">
        <v>1000</v>
      </c>
      <c r="H31">
        <v>10</v>
      </c>
      <c r="I31">
        <v>1000</v>
      </c>
      <c r="J31">
        <v>10</v>
      </c>
      <c r="K31" t="str">
        <f t="shared" si="0"/>
        <v>I'm using mealpy library to solve Travelling Salesman Problem. My problem instance has 127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32" spans="1:11" x14ac:dyDescent="0.25">
      <c r="A32" t="s">
        <v>80</v>
      </c>
      <c r="B32" t="s">
        <v>69</v>
      </c>
      <c r="C32" t="s">
        <v>10</v>
      </c>
      <c r="D32" s="3">
        <v>14</v>
      </c>
      <c r="E32" t="s">
        <v>110</v>
      </c>
      <c r="F32" t="s">
        <v>38</v>
      </c>
      <c r="G32">
        <v>1000</v>
      </c>
      <c r="H32">
        <v>2</v>
      </c>
      <c r="I32">
        <v>1000</v>
      </c>
      <c r="J32">
        <v>0.95</v>
      </c>
      <c r="K32" t="str">
        <f t="shared" si="0"/>
        <v>I'm using mealpy library to solve Travelling Salesman Problem. My problem instance has 14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33" spans="1:11" x14ac:dyDescent="0.25">
      <c r="A33" t="s">
        <v>80</v>
      </c>
      <c r="B33" t="s">
        <v>69</v>
      </c>
      <c r="C33" t="s">
        <v>4</v>
      </c>
      <c r="D33" s="3">
        <v>16</v>
      </c>
      <c r="E33" t="s">
        <v>110</v>
      </c>
      <c r="F33" t="s">
        <v>38</v>
      </c>
      <c r="G33">
        <v>1000</v>
      </c>
      <c r="H33">
        <v>22</v>
      </c>
      <c r="I33">
        <v>1000</v>
      </c>
      <c r="J33">
        <v>99</v>
      </c>
      <c r="K33" t="str">
        <f t="shared" si="0"/>
        <v>I'm using mealpy library to solve Travelling Salesman Problem. My problem instance has 16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34" spans="1:11" x14ac:dyDescent="0.25">
      <c r="A34" t="s">
        <v>80</v>
      </c>
      <c r="B34" t="s">
        <v>69</v>
      </c>
      <c r="C34" t="s">
        <v>15</v>
      </c>
      <c r="D34" s="3">
        <v>20</v>
      </c>
      <c r="E34" t="s">
        <v>110</v>
      </c>
      <c r="F34" t="s">
        <v>38</v>
      </c>
      <c r="G34">
        <v>1000</v>
      </c>
      <c r="H34">
        <v>50</v>
      </c>
      <c r="I34">
        <v>1000</v>
      </c>
      <c r="J34">
        <v>10</v>
      </c>
      <c r="K34" t="str">
        <f t="shared" si="0"/>
        <v>I'm using mealpy library to solve Travelling Salesman Problem. My problem instance has 20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35" spans="1:11" x14ac:dyDescent="0.25">
      <c r="A35" t="s">
        <v>80</v>
      </c>
      <c r="B35" t="s">
        <v>69</v>
      </c>
      <c r="C35" t="s">
        <v>11</v>
      </c>
      <c r="D35" s="3">
        <v>22</v>
      </c>
      <c r="E35" t="s">
        <v>110</v>
      </c>
      <c r="F35" t="s">
        <v>38</v>
      </c>
      <c r="G35">
        <v>1000</v>
      </c>
      <c r="H35">
        <v>30</v>
      </c>
      <c r="I35">
        <v>100</v>
      </c>
      <c r="J35">
        <v>0.9</v>
      </c>
      <c r="K35" t="str">
        <f t="shared" si="0"/>
        <v>I'm using mealpy library to solve Travelling Salesman Problem. My problem instance has 22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36" spans="1:11" x14ac:dyDescent="0.25">
      <c r="A36" t="s">
        <v>80</v>
      </c>
      <c r="B36" t="s">
        <v>69</v>
      </c>
      <c r="C36" t="s">
        <v>12</v>
      </c>
      <c r="D36" s="3">
        <v>29</v>
      </c>
      <c r="E36" t="s">
        <v>110</v>
      </c>
      <c r="F36" t="s">
        <v>38</v>
      </c>
      <c r="G36">
        <v>1000</v>
      </c>
      <c r="H36">
        <v>10</v>
      </c>
      <c r="I36">
        <v>1000</v>
      </c>
      <c r="J36">
        <v>99</v>
      </c>
      <c r="K36" t="str">
        <f t="shared" si="0"/>
        <v>I'm using mealpy library to solve Travelling Salesman Problem. My problem instance has 29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37" spans="1:11" x14ac:dyDescent="0.25">
      <c r="A37" t="s">
        <v>80</v>
      </c>
      <c r="B37" t="s">
        <v>69</v>
      </c>
      <c r="C37" t="s">
        <v>13</v>
      </c>
      <c r="D37" s="3">
        <v>30</v>
      </c>
      <c r="E37" t="s">
        <v>110</v>
      </c>
      <c r="F37" t="s">
        <v>38</v>
      </c>
      <c r="G37">
        <v>500</v>
      </c>
      <c r="H37">
        <v>50</v>
      </c>
      <c r="I37">
        <v>1000</v>
      </c>
      <c r="J37">
        <v>0.9</v>
      </c>
      <c r="K37" t="str">
        <f t="shared" si="0"/>
        <v>I'm using mealpy library to solve Travelling Salesman Problem. My problem instance has 30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38" spans="1:11" x14ac:dyDescent="0.25">
      <c r="A38" t="s">
        <v>80</v>
      </c>
      <c r="B38" t="s">
        <v>69</v>
      </c>
      <c r="C38" t="s">
        <v>14</v>
      </c>
      <c r="D38" s="3">
        <v>48</v>
      </c>
      <c r="E38" t="s">
        <v>110</v>
      </c>
      <c r="F38" t="s">
        <v>38</v>
      </c>
      <c r="G38" s="4">
        <v>1000</v>
      </c>
      <c r="H38">
        <v>10</v>
      </c>
      <c r="I38">
        <v>1000</v>
      </c>
      <c r="J38">
        <v>0.95</v>
      </c>
      <c r="K38" t="str">
        <f t="shared" si="0"/>
        <v>I'm using mealpy library to solve Travelling Salesman Problem. My problem instance has 48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39" spans="1:11" x14ac:dyDescent="0.25">
      <c r="A39" t="s">
        <v>80</v>
      </c>
      <c r="B39" t="s">
        <v>69</v>
      </c>
      <c r="C39" t="s">
        <v>83</v>
      </c>
      <c r="D39" s="3">
        <v>50</v>
      </c>
      <c r="E39" t="s">
        <v>110</v>
      </c>
      <c r="F39" t="s">
        <v>38</v>
      </c>
      <c r="G39">
        <v>1000</v>
      </c>
      <c r="H39">
        <v>10</v>
      </c>
      <c r="I39">
        <v>100</v>
      </c>
      <c r="J39">
        <v>0.95</v>
      </c>
      <c r="K39" t="str">
        <f t="shared" si="0"/>
        <v>I'm using mealpy library to solve Travelling Salesman Problem. My problem instance has 50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40" spans="1:11" x14ac:dyDescent="0.25">
      <c r="A40" t="s">
        <v>80</v>
      </c>
      <c r="B40" t="s">
        <v>69</v>
      </c>
      <c r="C40" t="s">
        <v>84</v>
      </c>
      <c r="D40" s="3">
        <v>75</v>
      </c>
      <c r="E40" t="s">
        <v>110</v>
      </c>
      <c r="F40" t="s">
        <v>38</v>
      </c>
      <c r="G40">
        <v>1000</v>
      </c>
      <c r="H40">
        <v>100</v>
      </c>
      <c r="I40">
        <v>1000</v>
      </c>
      <c r="J40">
        <v>0.99</v>
      </c>
      <c r="K40" t="str">
        <f t="shared" si="0"/>
        <v>I'm using mealpy library to solve Travelling Salesman Problem. My problem instance has 75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41" spans="1:11" x14ac:dyDescent="0.25">
      <c r="A41" t="s">
        <v>80</v>
      </c>
      <c r="B41" t="s">
        <v>69</v>
      </c>
      <c r="C41" t="s">
        <v>82</v>
      </c>
      <c r="D41">
        <v>127</v>
      </c>
      <c r="E41" t="s">
        <v>110</v>
      </c>
      <c r="F41" t="s">
        <v>38</v>
      </c>
      <c r="G41">
        <v>1000</v>
      </c>
      <c r="H41">
        <v>30</v>
      </c>
      <c r="I41">
        <v>1000</v>
      </c>
      <c r="J41">
        <v>50</v>
      </c>
      <c r="K41" t="str">
        <f t="shared" si="0"/>
        <v>I'm using mealpy library to solve Travelling Salesman Problem. My problem instance has 127 cities. I want to use Simulated Annealing to solve it.Mealpy's implementation of SA takes following parameters: epoch (int), pop_size (int), temp_init (int), step_size (int).  In brackets I wrote possible parameter values or its type. Suggest me parameter values in this problem setup. Give exact values and present them in python dictionary.</v>
      </c>
    </row>
    <row r="42" spans="1:11" x14ac:dyDescent="0.25">
      <c r="A42" t="s">
        <v>80</v>
      </c>
      <c r="B42" t="s">
        <v>69</v>
      </c>
      <c r="C42" t="s">
        <v>10</v>
      </c>
      <c r="D42" s="3">
        <v>14</v>
      </c>
      <c r="E42" t="s">
        <v>36</v>
      </c>
      <c r="F42" t="s">
        <v>38</v>
      </c>
      <c r="G42">
        <v>10000</v>
      </c>
      <c r="H42">
        <v>2</v>
      </c>
      <c r="I42">
        <v>100</v>
      </c>
      <c r="J42">
        <v>0.1</v>
      </c>
    </row>
    <row r="43" spans="1:11" x14ac:dyDescent="0.25">
      <c r="A43" t="s">
        <v>80</v>
      </c>
      <c r="B43" t="s">
        <v>69</v>
      </c>
      <c r="C43" t="s">
        <v>4</v>
      </c>
      <c r="D43" s="3">
        <v>16</v>
      </c>
      <c r="E43" t="s">
        <v>36</v>
      </c>
      <c r="F43" t="s">
        <v>38</v>
      </c>
      <c r="G43">
        <v>10000</v>
      </c>
      <c r="H43">
        <v>2</v>
      </c>
      <c r="I43">
        <v>100</v>
      </c>
      <c r="J43">
        <v>0.1</v>
      </c>
    </row>
    <row r="44" spans="1:11" x14ac:dyDescent="0.25">
      <c r="A44" t="s">
        <v>80</v>
      </c>
      <c r="B44" t="s">
        <v>69</v>
      </c>
      <c r="C44" t="s">
        <v>15</v>
      </c>
      <c r="D44" s="3">
        <v>20</v>
      </c>
      <c r="E44" t="s">
        <v>36</v>
      </c>
      <c r="F44" t="s">
        <v>38</v>
      </c>
      <c r="G44">
        <v>10000</v>
      </c>
      <c r="H44">
        <v>2</v>
      </c>
      <c r="I44">
        <v>100</v>
      </c>
      <c r="J44">
        <v>0.1</v>
      </c>
    </row>
    <row r="45" spans="1:11" x14ac:dyDescent="0.25">
      <c r="A45" t="s">
        <v>80</v>
      </c>
      <c r="B45" t="s">
        <v>69</v>
      </c>
      <c r="C45" t="s">
        <v>11</v>
      </c>
      <c r="D45" s="3">
        <v>22</v>
      </c>
      <c r="E45" t="s">
        <v>36</v>
      </c>
      <c r="F45" t="s">
        <v>38</v>
      </c>
      <c r="G45">
        <v>10000</v>
      </c>
      <c r="H45">
        <v>2</v>
      </c>
      <c r="I45">
        <v>100</v>
      </c>
      <c r="J45">
        <v>0.1</v>
      </c>
    </row>
    <row r="46" spans="1:11" x14ac:dyDescent="0.25">
      <c r="A46" t="s">
        <v>80</v>
      </c>
      <c r="B46" t="s">
        <v>69</v>
      </c>
      <c r="C46" t="s">
        <v>12</v>
      </c>
      <c r="D46" s="3">
        <v>29</v>
      </c>
      <c r="E46" t="s">
        <v>36</v>
      </c>
      <c r="F46" t="s">
        <v>38</v>
      </c>
      <c r="G46">
        <v>10000</v>
      </c>
      <c r="H46">
        <v>2</v>
      </c>
      <c r="I46">
        <v>100</v>
      </c>
      <c r="J46">
        <v>0.1</v>
      </c>
    </row>
    <row r="47" spans="1:11" x14ac:dyDescent="0.25">
      <c r="A47" t="s">
        <v>80</v>
      </c>
      <c r="B47" t="s">
        <v>69</v>
      </c>
      <c r="C47" t="s">
        <v>13</v>
      </c>
      <c r="D47" s="3">
        <v>30</v>
      </c>
      <c r="E47" t="s">
        <v>36</v>
      </c>
      <c r="F47" t="s">
        <v>38</v>
      </c>
      <c r="G47">
        <v>10000</v>
      </c>
      <c r="H47">
        <v>2</v>
      </c>
      <c r="I47">
        <v>100</v>
      </c>
      <c r="J47">
        <v>0.1</v>
      </c>
    </row>
    <row r="48" spans="1:11" x14ac:dyDescent="0.25">
      <c r="A48" t="s">
        <v>80</v>
      </c>
      <c r="B48" t="s">
        <v>69</v>
      </c>
      <c r="C48" t="s">
        <v>14</v>
      </c>
      <c r="D48" s="3">
        <v>48</v>
      </c>
      <c r="E48" t="s">
        <v>36</v>
      </c>
      <c r="F48" t="s">
        <v>38</v>
      </c>
      <c r="G48">
        <v>10000</v>
      </c>
      <c r="H48">
        <v>2</v>
      </c>
      <c r="I48">
        <v>100</v>
      </c>
      <c r="J48">
        <v>0.1</v>
      </c>
    </row>
    <row r="49" spans="1:11" x14ac:dyDescent="0.25">
      <c r="A49" t="s">
        <v>80</v>
      </c>
      <c r="B49" t="s">
        <v>69</v>
      </c>
      <c r="C49" t="s">
        <v>83</v>
      </c>
      <c r="D49" s="3">
        <v>50</v>
      </c>
      <c r="E49" t="s">
        <v>36</v>
      </c>
      <c r="F49" t="s">
        <v>38</v>
      </c>
      <c r="G49">
        <v>10000</v>
      </c>
      <c r="H49">
        <v>2</v>
      </c>
      <c r="I49">
        <v>100</v>
      </c>
      <c r="J49">
        <v>0.1</v>
      </c>
    </row>
    <row r="50" spans="1:11" x14ac:dyDescent="0.25">
      <c r="A50" t="s">
        <v>80</v>
      </c>
      <c r="B50" t="s">
        <v>69</v>
      </c>
      <c r="C50" t="s">
        <v>84</v>
      </c>
      <c r="D50" s="3">
        <v>75</v>
      </c>
      <c r="E50" t="s">
        <v>36</v>
      </c>
      <c r="F50" t="s">
        <v>38</v>
      </c>
      <c r="G50">
        <v>10000</v>
      </c>
      <c r="H50">
        <v>2</v>
      </c>
      <c r="I50">
        <v>100</v>
      </c>
      <c r="J50">
        <v>0.1</v>
      </c>
    </row>
    <row r="51" spans="1:11" x14ac:dyDescent="0.25">
      <c r="A51" t="s">
        <v>80</v>
      </c>
      <c r="B51" t="s">
        <v>69</v>
      </c>
      <c r="C51" t="s">
        <v>82</v>
      </c>
      <c r="D51">
        <v>127</v>
      </c>
      <c r="E51" t="s">
        <v>36</v>
      </c>
      <c r="F51" t="s">
        <v>38</v>
      </c>
      <c r="G51">
        <v>10000</v>
      </c>
      <c r="H51">
        <v>2</v>
      </c>
      <c r="I51">
        <v>100</v>
      </c>
      <c r="J51">
        <v>0.1</v>
      </c>
    </row>
    <row r="52" spans="1:11" x14ac:dyDescent="0.25">
      <c r="A52" t="s">
        <v>80</v>
      </c>
      <c r="B52" t="s">
        <v>69</v>
      </c>
      <c r="C52" t="s">
        <v>10</v>
      </c>
      <c r="D52" s="3">
        <v>14</v>
      </c>
      <c r="E52" t="s">
        <v>107</v>
      </c>
      <c r="F52" t="s">
        <v>52</v>
      </c>
      <c r="G52">
        <v>1000</v>
      </c>
      <c r="H52">
        <v>25</v>
      </c>
      <c r="I52">
        <v>2000</v>
      </c>
      <c r="J52">
        <v>0.05</v>
      </c>
      <c r="K52" t="s">
        <v>111</v>
      </c>
    </row>
    <row r="53" spans="1:11" x14ac:dyDescent="0.25">
      <c r="A53" t="s">
        <v>80</v>
      </c>
      <c r="B53" t="s">
        <v>69</v>
      </c>
      <c r="C53" t="s">
        <v>4</v>
      </c>
      <c r="D53" s="3">
        <v>16</v>
      </c>
      <c r="E53" t="s">
        <v>107</v>
      </c>
      <c r="F53" t="s">
        <v>52</v>
      </c>
      <c r="G53">
        <v>5000</v>
      </c>
      <c r="H53">
        <v>10</v>
      </c>
      <c r="I53">
        <v>200</v>
      </c>
      <c r="J53">
        <v>0.8</v>
      </c>
      <c r="K53" t="s">
        <v>112</v>
      </c>
    </row>
    <row r="54" spans="1:11" x14ac:dyDescent="0.25">
      <c r="A54" t="s">
        <v>80</v>
      </c>
      <c r="B54" t="s">
        <v>69</v>
      </c>
      <c r="C54" t="s">
        <v>15</v>
      </c>
      <c r="D54" s="3">
        <v>20</v>
      </c>
      <c r="E54" t="s">
        <v>107</v>
      </c>
      <c r="F54" t="s">
        <v>52</v>
      </c>
      <c r="G54">
        <v>5000</v>
      </c>
      <c r="H54">
        <v>10</v>
      </c>
      <c r="I54">
        <v>5000</v>
      </c>
      <c r="J54">
        <v>0.05</v>
      </c>
      <c r="K54" t="s">
        <v>113</v>
      </c>
    </row>
    <row r="55" spans="1:11" x14ac:dyDescent="0.25">
      <c r="A55" t="s">
        <v>80</v>
      </c>
      <c r="B55" t="s">
        <v>69</v>
      </c>
      <c r="C55" t="s">
        <v>11</v>
      </c>
      <c r="D55" s="3">
        <v>22</v>
      </c>
      <c r="E55" t="s">
        <v>107</v>
      </c>
      <c r="F55" t="s">
        <v>52</v>
      </c>
      <c r="G55">
        <v>500</v>
      </c>
      <c r="H55">
        <v>100</v>
      </c>
      <c r="I55">
        <v>150</v>
      </c>
      <c r="J55">
        <v>0.05</v>
      </c>
      <c r="K55" t="s">
        <v>114</v>
      </c>
    </row>
    <row r="56" spans="1:11" x14ac:dyDescent="0.25">
      <c r="A56" t="s">
        <v>80</v>
      </c>
      <c r="B56" t="s">
        <v>69</v>
      </c>
      <c r="C56" t="s">
        <v>12</v>
      </c>
      <c r="D56" s="3">
        <v>29</v>
      </c>
      <c r="E56" t="s">
        <v>107</v>
      </c>
      <c r="F56" t="s">
        <v>52</v>
      </c>
      <c r="G56">
        <v>2000</v>
      </c>
      <c r="H56">
        <v>25</v>
      </c>
      <c r="I56">
        <v>10000</v>
      </c>
      <c r="J56">
        <v>0.05</v>
      </c>
      <c r="K56" t="s">
        <v>115</v>
      </c>
    </row>
    <row r="57" spans="1:11" x14ac:dyDescent="0.25">
      <c r="A57" t="s">
        <v>80</v>
      </c>
      <c r="B57" t="s">
        <v>69</v>
      </c>
      <c r="C57" t="s">
        <v>13</v>
      </c>
      <c r="D57" s="3">
        <v>30</v>
      </c>
      <c r="E57" t="s">
        <v>107</v>
      </c>
      <c r="F57" t="s">
        <v>52</v>
      </c>
      <c r="G57">
        <v>6000</v>
      </c>
      <c r="H57">
        <v>25</v>
      </c>
      <c r="I57">
        <v>2000</v>
      </c>
      <c r="J57">
        <v>0.05</v>
      </c>
      <c r="K57" t="s">
        <v>116</v>
      </c>
    </row>
    <row r="58" spans="1:11" x14ac:dyDescent="0.25">
      <c r="A58" t="s">
        <v>80</v>
      </c>
      <c r="B58" t="s">
        <v>69</v>
      </c>
      <c r="C58" t="s">
        <v>14</v>
      </c>
      <c r="D58" s="3">
        <v>48</v>
      </c>
      <c r="E58" t="s">
        <v>107</v>
      </c>
      <c r="F58" t="s">
        <v>52</v>
      </c>
      <c r="G58">
        <v>2000</v>
      </c>
      <c r="H58">
        <v>25</v>
      </c>
      <c r="I58">
        <v>1500</v>
      </c>
      <c r="J58">
        <v>0.05</v>
      </c>
      <c r="K58" t="s">
        <v>117</v>
      </c>
    </row>
    <row r="59" spans="1:11" x14ac:dyDescent="0.25">
      <c r="A59" t="s">
        <v>80</v>
      </c>
      <c r="B59" t="s">
        <v>69</v>
      </c>
      <c r="C59" t="s">
        <v>83</v>
      </c>
      <c r="D59" s="3">
        <v>50</v>
      </c>
      <c r="E59" t="s">
        <v>107</v>
      </c>
      <c r="F59" t="s">
        <v>52</v>
      </c>
      <c r="G59">
        <v>2000</v>
      </c>
      <c r="H59">
        <v>25</v>
      </c>
      <c r="I59">
        <v>1500</v>
      </c>
      <c r="J59">
        <v>0.05</v>
      </c>
      <c r="K59" t="s">
        <v>118</v>
      </c>
    </row>
    <row r="60" spans="1:11" x14ac:dyDescent="0.25">
      <c r="A60" t="s">
        <v>80</v>
      </c>
      <c r="B60" t="s">
        <v>69</v>
      </c>
      <c r="C60" t="s">
        <v>84</v>
      </c>
      <c r="D60" s="3">
        <v>75</v>
      </c>
      <c r="E60" t="s">
        <v>107</v>
      </c>
      <c r="F60" t="s">
        <v>52</v>
      </c>
      <c r="G60">
        <v>200</v>
      </c>
      <c r="H60">
        <v>50</v>
      </c>
      <c r="I60">
        <v>2000</v>
      </c>
      <c r="J60">
        <v>8</v>
      </c>
      <c r="K60" t="s">
        <v>119</v>
      </c>
    </row>
    <row r="61" spans="1:11" x14ac:dyDescent="0.25">
      <c r="A61" t="s">
        <v>80</v>
      </c>
      <c r="B61" t="s">
        <v>69</v>
      </c>
      <c r="C61" t="s">
        <v>82</v>
      </c>
      <c r="D61">
        <v>127</v>
      </c>
      <c r="E61" t="s">
        <v>107</v>
      </c>
      <c r="F61" t="s">
        <v>52</v>
      </c>
      <c r="G61">
        <v>2000</v>
      </c>
      <c r="H61">
        <v>25</v>
      </c>
      <c r="I61">
        <v>1500</v>
      </c>
      <c r="J61">
        <v>10</v>
      </c>
      <c r="K61" t="s">
        <v>120</v>
      </c>
    </row>
    <row r="62" spans="1:11" x14ac:dyDescent="0.25">
      <c r="A62" t="s">
        <v>80</v>
      </c>
      <c r="B62" t="s">
        <v>69</v>
      </c>
      <c r="C62" t="s">
        <v>10</v>
      </c>
      <c r="D62" s="3">
        <v>14</v>
      </c>
      <c r="E62" t="s">
        <v>109</v>
      </c>
      <c r="F62" t="s">
        <v>52</v>
      </c>
      <c r="G62">
        <v>2000</v>
      </c>
      <c r="H62">
        <v>2</v>
      </c>
      <c r="I62">
        <v>1500</v>
      </c>
      <c r="J62">
        <v>0.5</v>
      </c>
      <c r="K62" t="s">
        <v>121</v>
      </c>
    </row>
    <row r="63" spans="1:11" x14ac:dyDescent="0.25">
      <c r="A63" t="s">
        <v>80</v>
      </c>
      <c r="B63" t="s">
        <v>69</v>
      </c>
      <c r="C63" t="s">
        <v>4</v>
      </c>
      <c r="D63" s="3">
        <v>16</v>
      </c>
      <c r="E63" t="s">
        <v>109</v>
      </c>
      <c r="F63" t="s">
        <v>52</v>
      </c>
      <c r="G63">
        <v>2000</v>
      </c>
      <c r="H63">
        <v>15</v>
      </c>
      <c r="I63">
        <v>1500</v>
      </c>
      <c r="J63">
        <v>1.5</v>
      </c>
      <c r="K63" t="s">
        <v>122</v>
      </c>
    </row>
    <row r="64" spans="1:11" x14ac:dyDescent="0.25">
      <c r="A64" t="s">
        <v>80</v>
      </c>
      <c r="B64" t="s">
        <v>69</v>
      </c>
      <c r="C64" t="s">
        <v>15</v>
      </c>
      <c r="D64" s="3">
        <v>20</v>
      </c>
      <c r="E64" t="s">
        <v>109</v>
      </c>
      <c r="F64" t="s">
        <v>52</v>
      </c>
      <c r="G64">
        <v>2000</v>
      </c>
      <c r="H64">
        <v>25</v>
      </c>
      <c r="I64">
        <v>500</v>
      </c>
      <c r="J64">
        <v>0.5</v>
      </c>
      <c r="K64" t="s">
        <v>123</v>
      </c>
    </row>
    <row r="65" spans="1:11" x14ac:dyDescent="0.25">
      <c r="A65" s="7" t="s">
        <v>80</v>
      </c>
      <c r="B65" t="s">
        <v>69</v>
      </c>
      <c r="C65" t="s">
        <v>11</v>
      </c>
      <c r="D65" s="3">
        <v>22</v>
      </c>
      <c r="E65" t="s">
        <v>109</v>
      </c>
      <c r="F65" t="s">
        <v>52</v>
      </c>
      <c r="G65">
        <v>2000</v>
      </c>
      <c r="H65">
        <v>25</v>
      </c>
      <c r="I65">
        <v>1200</v>
      </c>
      <c r="J65">
        <v>3</v>
      </c>
      <c r="K65" t="s">
        <v>124</v>
      </c>
    </row>
    <row r="66" spans="1:11" x14ac:dyDescent="0.25">
      <c r="A66" s="7" t="s">
        <v>80</v>
      </c>
      <c r="B66" t="s">
        <v>69</v>
      </c>
      <c r="C66" t="s">
        <v>12</v>
      </c>
      <c r="D66" s="3">
        <v>29</v>
      </c>
      <c r="E66" t="s">
        <v>109</v>
      </c>
      <c r="F66" t="s">
        <v>52</v>
      </c>
      <c r="G66">
        <v>2000</v>
      </c>
      <c r="H66">
        <v>25</v>
      </c>
      <c r="I66">
        <v>500</v>
      </c>
      <c r="J66">
        <v>0.8</v>
      </c>
      <c r="K66" t="s">
        <v>125</v>
      </c>
    </row>
    <row r="67" spans="1:11" x14ac:dyDescent="0.25">
      <c r="A67" s="7" t="s">
        <v>80</v>
      </c>
      <c r="B67" t="s">
        <v>69</v>
      </c>
      <c r="C67" t="s">
        <v>13</v>
      </c>
      <c r="D67" s="3">
        <v>30</v>
      </c>
      <c r="E67" t="s">
        <v>109</v>
      </c>
      <c r="F67" t="s">
        <v>52</v>
      </c>
      <c r="G67">
        <v>2000</v>
      </c>
      <c r="H67">
        <v>25</v>
      </c>
      <c r="I67">
        <v>2000</v>
      </c>
      <c r="J67">
        <v>2.5</v>
      </c>
      <c r="K67" t="s">
        <v>126</v>
      </c>
    </row>
    <row r="68" spans="1:11" x14ac:dyDescent="0.25">
      <c r="A68" s="7" t="s">
        <v>80</v>
      </c>
      <c r="B68" t="s">
        <v>69</v>
      </c>
      <c r="C68" t="s">
        <v>14</v>
      </c>
      <c r="D68" s="3">
        <v>48</v>
      </c>
      <c r="E68" t="s">
        <v>109</v>
      </c>
      <c r="F68" t="s">
        <v>52</v>
      </c>
      <c r="G68">
        <v>500</v>
      </c>
      <c r="H68">
        <v>100</v>
      </c>
      <c r="I68">
        <v>1500</v>
      </c>
      <c r="J68">
        <v>3</v>
      </c>
      <c r="K68" t="s">
        <v>127</v>
      </c>
    </row>
    <row r="69" spans="1:11" x14ac:dyDescent="0.25">
      <c r="A69" s="7" t="s">
        <v>80</v>
      </c>
      <c r="B69" t="s">
        <v>69</v>
      </c>
      <c r="C69" t="s">
        <v>83</v>
      </c>
      <c r="D69" s="3">
        <v>50</v>
      </c>
      <c r="E69" t="s">
        <v>109</v>
      </c>
      <c r="F69" t="s">
        <v>52</v>
      </c>
      <c r="G69">
        <v>2000</v>
      </c>
      <c r="H69">
        <v>10</v>
      </c>
      <c r="I69">
        <v>500</v>
      </c>
      <c r="J69">
        <v>0.5</v>
      </c>
      <c r="K69" t="s">
        <v>128</v>
      </c>
    </row>
    <row r="70" spans="1:11" x14ac:dyDescent="0.25">
      <c r="A70" t="s">
        <v>80</v>
      </c>
      <c r="B70" t="s">
        <v>69</v>
      </c>
      <c r="C70" t="s">
        <v>84</v>
      </c>
      <c r="D70" s="3">
        <v>75</v>
      </c>
      <c r="E70" t="s">
        <v>109</v>
      </c>
      <c r="F70" t="s">
        <v>52</v>
      </c>
      <c r="G70">
        <v>700</v>
      </c>
      <c r="H70">
        <v>10</v>
      </c>
      <c r="I70">
        <v>1500</v>
      </c>
      <c r="J70">
        <v>3</v>
      </c>
      <c r="K70" t="s">
        <v>129</v>
      </c>
    </row>
    <row r="71" spans="1:11" x14ac:dyDescent="0.25">
      <c r="A71" t="s">
        <v>80</v>
      </c>
      <c r="B71" t="s">
        <v>69</v>
      </c>
      <c r="C71" t="s">
        <v>82</v>
      </c>
      <c r="D71">
        <v>127</v>
      </c>
      <c r="E71" t="s">
        <v>109</v>
      </c>
      <c r="F71" t="s">
        <v>52</v>
      </c>
      <c r="G71">
        <v>1000</v>
      </c>
      <c r="H71">
        <v>8</v>
      </c>
      <c r="I71">
        <v>1500</v>
      </c>
      <c r="J71">
        <v>20</v>
      </c>
      <c r="K71" t="s">
        <v>130</v>
      </c>
    </row>
    <row r="72" spans="1:11" x14ac:dyDescent="0.25">
      <c r="A72" t="s">
        <v>80</v>
      </c>
      <c r="B72" t="s">
        <v>69</v>
      </c>
      <c r="C72" t="s">
        <v>10</v>
      </c>
      <c r="D72" s="3">
        <v>14</v>
      </c>
      <c r="E72" t="s">
        <v>8</v>
      </c>
      <c r="F72" t="s">
        <v>52</v>
      </c>
      <c r="G72">
        <v>1000</v>
      </c>
      <c r="H72">
        <v>10</v>
      </c>
      <c r="I72">
        <v>500</v>
      </c>
      <c r="J72">
        <v>25</v>
      </c>
      <c r="K72" t="s">
        <v>131</v>
      </c>
    </row>
    <row r="73" spans="1:11" x14ac:dyDescent="0.25">
      <c r="A73" t="s">
        <v>80</v>
      </c>
      <c r="B73" t="s">
        <v>69</v>
      </c>
      <c r="C73" t="s">
        <v>4</v>
      </c>
      <c r="D73" s="3">
        <v>16</v>
      </c>
      <c r="E73" t="s">
        <v>8</v>
      </c>
      <c r="F73" t="s">
        <v>52</v>
      </c>
      <c r="G73">
        <v>687</v>
      </c>
      <c r="H73">
        <v>16</v>
      </c>
      <c r="I73">
        <v>5000</v>
      </c>
      <c r="J73">
        <v>5</v>
      </c>
      <c r="K73" t="s">
        <v>132</v>
      </c>
    </row>
    <row r="74" spans="1:11" x14ac:dyDescent="0.25">
      <c r="A74" t="s">
        <v>80</v>
      </c>
      <c r="B74" t="s">
        <v>69</v>
      </c>
      <c r="C74" t="s">
        <v>15</v>
      </c>
      <c r="D74" s="3">
        <v>20</v>
      </c>
      <c r="E74" t="s">
        <v>8</v>
      </c>
      <c r="F74" t="s">
        <v>52</v>
      </c>
      <c r="G74">
        <v>750</v>
      </c>
      <c r="H74">
        <v>20</v>
      </c>
      <c r="I74">
        <v>150</v>
      </c>
      <c r="J74">
        <v>7</v>
      </c>
      <c r="K74" t="s">
        <v>133</v>
      </c>
    </row>
    <row r="75" spans="1:11" x14ac:dyDescent="0.25">
      <c r="A75" t="s">
        <v>80</v>
      </c>
      <c r="B75" t="s">
        <v>69</v>
      </c>
      <c r="C75" t="s">
        <v>11</v>
      </c>
      <c r="D75" s="3">
        <v>22</v>
      </c>
      <c r="E75" t="s">
        <v>8</v>
      </c>
      <c r="F75" t="s">
        <v>52</v>
      </c>
      <c r="G75">
        <v>750</v>
      </c>
      <c r="H75">
        <v>20</v>
      </c>
      <c r="I75">
        <v>150</v>
      </c>
      <c r="J75">
        <v>3</v>
      </c>
      <c r="K75" t="s">
        <v>134</v>
      </c>
    </row>
    <row r="76" spans="1:11" x14ac:dyDescent="0.25">
      <c r="A76" t="s">
        <v>80</v>
      </c>
      <c r="B76" t="s">
        <v>69</v>
      </c>
      <c r="C76" t="s">
        <v>12</v>
      </c>
      <c r="D76" s="3">
        <v>29</v>
      </c>
      <c r="E76" t="s">
        <v>8</v>
      </c>
      <c r="F76" t="s">
        <v>52</v>
      </c>
      <c r="G76">
        <v>600</v>
      </c>
      <c r="H76">
        <v>40</v>
      </c>
      <c r="I76">
        <v>100</v>
      </c>
      <c r="J76">
        <v>5</v>
      </c>
      <c r="K76" t="s">
        <v>135</v>
      </c>
    </row>
    <row r="77" spans="1:11" x14ac:dyDescent="0.25">
      <c r="A77" t="s">
        <v>80</v>
      </c>
      <c r="B77" t="s">
        <v>69</v>
      </c>
      <c r="C77" t="s">
        <v>13</v>
      </c>
      <c r="D77" s="3">
        <v>30</v>
      </c>
      <c r="E77" t="s">
        <v>8</v>
      </c>
      <c r="F77" t="s">
        <v>52</v>
      </c>
      <c r="G77">
        <v>750</v>
      </c>
      <c r="H77">
        <v>17</v>
      </c>
      <c r="I77">
        <v>150</v>
      </c>
      <c r="J77">
        <v>3</v>
      </c>
      <c r="K77" t="s">
        <v>136</v>
      </c>
    </row>
    <row r="78" spans="1:11" x14ac:dyDescent="0.25">
      <c r="A78" t="s">
        <v>80</v>
      </c>
      <c r="B78" t="s">
        <v>69</v>
      </c>
      <c r="C78" t="s">
        <v>14</v>
      </c>
      <c r="D78" s="3">
        <v>48</v>
      </c>
      <c r="E78" t="s">
        <v>8</v>
      </c>
      <c r="F78" t="s">
        <v>52</v>
      </c>
      <c r="G78">
        <v>750</v>
      </c>
      <c r="H78">
        <v>50</v>
      </c>
      <c r="I78">
        <v>50</v>
      </c>
      <c r="J78">
        <v>1</v>
      </c>
      <c r="K78" t="s">
        <v>137</v>
      </c>
    </row>
    <row r="79" spans="1:11" x14ac:dyDescent="0.25">
      <c r="A79" t="s">
        <v>80</v>
      </c>
      <c r="B79" t="s">
        <v>69</v>
      </c>
      <c r="C79" t="s">
        <v>83</v>
      </c>
      <c r="D79" s="3">
        <v>50</v>
      </c>
      <c r="E79" t="s">
        <v>8</v>
      </c>
      <c r="F79" t="s">
        <v>52</v>
      </c>
      <c r="G79">
        <v>1000</v>
      </c>
      <c r="H79">
        <v>25</v>
      </c>
      <c r="I79">
        <v>500</v>
      </c>
      <c r="J79">
        <v>2.5</v>
      </c>
      <c r="K79" t="s">
        <v>138</v>
      </c>
    </row>
    <row r="80" spans="1:11" x14ac:dyDescent="0.25">
      <c r="A80" t="s">
        <v>80</v>
      </c>
      <c r="B80" t="s">
        <v>69</v>
      </c>
      <c r="C80" t="s">
        <v>84</v>
      </c>
      <c r="D80" s="3">
        <v>75</v>
      </c>
      <c r="E80" t="s">
        <v>8</v>
      </c>
      <c r="F80" t="s">
        <v>52</v>
      </c>
      <c r="G80">
        <v>750</v>
      </c>
      <c r="H80">
        <v>7</v>
      </c>
      <c r="I80">
        <v>150</v>
      </c>
      <c r="J80">
        <v>0.97</v>
      </c>
      <c r="K80" t="s">
        <v>139</v>
      </c>
    </row>
    <row r="81" spans="1:11" x14ac:dyDescent="0.25">
      <c r="A81" t="s">
        <v>80</v>
      </c>
      <c r="B81" t="s">
        <v>69</v>
      </c>
      <c r="C81" t="s">
        <v>82</v>
      </c>
      <c r="D81">
        <v>127</v>
      </c>
      <c r="E81" t="s">
        <v>8</v>
      </c>
      <c r="F81" t="s">
        <v>52</v>
      </c>
      <c r="G81">
        <v>2000</v>
      </c>
      <c r="H81">
        <v>5</v>
      </c>
      <c r="I81">
        <v>100</v>
      </c>
      <c r="J81">
        <v>1</v>
      </c>
      <c r="K81" t="s">
        <v>140</v>
      </c>
    </row>
    <row r="82" spans="1:11" x14ac:dyDescent="0.25">
      <c r="A82" t="s">
        <v>80</v>
      </c>
      <c r="B82" t="s">
        <v>69</v>
      </c>
      <c r="C82" t="s">
        <v>10</v>
      </c>
      <c r="D82" s="3">
        <v>14</v>
      </c>
      <c r="E82" t="s">
        <v>110</v>
      </c>
      <c r="F82" t="s">
        <v>52</v>
      </c>
      <c r="G82">
        <v>2000</v>
      </c>
      <c r="H82">
        <v>2</v>
      </c>
      <c r="I82">
        <v>500</v>
      </c>
      <c r="J82">
        <v>0.9</v>
      </c>
      <c r="K82" t="s">
        <v>141</v>
      </c>
    </row>
    <row r="83" spans="1:11" x14ac:dyDescent="0.25">
      <c r="A83" t="s">
        <v>80</v>
      </c>
      <c r="B83" t="s">
        <v>69</v>
      </c>
      <c r="C83" t="s">
        <v>4</v>
      </c>
      <c r="D83" s="3">
        <v>16</v>
      </c>
      <c r="E83" t="s">
        <v>110</v>
      </c>
      <c r="F83" t="s">
        <v>52</v>
      </c>
      <c r="G83">
        <v>1100</v>
      </c>
      <c r="H83">
        <v>20</v>
      </c>
      <c r="I83">
        <v>1100</v>
      </c>
      <c r="J83">
        <v>90</v>
      </c>
      <c r="K83" t="s">
        <v>142</v>
      </c>
    </row>
    <row r="84" spans="1:11" x14ac:dyDescent="0.25">
      <c r="A84" t="s">
        <v>80</v>
      </c>
      <c r="B84" t="s">
        <v>69</v>
      </c>
      <c r="C84" t="s">
        <v>15</v>
      </c>
      <c r="D84" s="3">
        <v>20</v>
      </c>
      <c r="E84" t="s">
        <v>110</v>
      </c>
      <c r="F84" t="s">
        <v>52</v>
      </c>
      <c r="G84">
        <v>500</v>
      </c>
      <c r="H84">
        <v>100</v>
      </c>
      <c r="I84">
        <v>1500</v>
      </c>
      <c r="J84">
        <v>15</v>
      </c>
      <c r="K84" t="s">
        <v>143</v>
      </c>
    </row>
    <row r="85" spans="1:11" x14ac:dyDescent="0.25">
      <c r="A85" t="s">
        <v>80</v>
      </c>
      <c r="B85" t="s">
        <v>69</v>
      </c>
      <c r="C85" t="s">
        <v>11</v>
      </c>
      <c r="D85" s="3">
        <v>22</v>
      </c>
      <c r="E85" t="s">
        <v>110</v>
      </c>
      <c r="F85" t="s">
        <v>52</v>
      </c>
      <c r="G85">
        <v>1500</v>
      </c>
      <c r="H85">
        <v>20</v>
      </c>
      <c r="I85">
        <v>120</v>
      </c>
      <c r="J85">
        <v>0.85</v>
      </c>
      <c r="K85" t="s">
        <v>144</v>
      </c>
    </row>
    <row r="86" spans="1:11" x14ac:dyDescent="0.25">
      <c r="A86" t="s">
        <v>80</v>
      </c>
      <c r="B86" t="s">
        <v>69</v>
      </c>
      <c r="C86" t="s">
        <v>12</v>
      </c>
      <c r="D86" s="3">
        <v>29</v>
      </c>
      <c r="E86" t="s">
        <v>110</v>
      </c>
      <c r="F86" t="s">
        <v>52</v>
      </c>
      <c r="G86">
        <v>5000</v>
      </c>
      <c r="H86">
        <v>2</v>
      </c>
      <c r="I86">
        <v>1000</v>
      </c>
      <c r="J86">
        <v>49</v>
      </c>
      <c r="K86" t="s">
        <v>145</v>
      </c>
    </row>
    <row r="87" spans="1:11" x14ac:dyDescent="0.25">
      <c r="A87" t="s">
        <v>80</v>
      </c>
      <c r="B87" t="s">
        <v>69</v>
      </c>
      <c r="C87" t="s">
        <v>13</v>
      </c>
      <c r="D87" s="3">
        <v>30</v>
      </c>
      <c r="E87" t="s">
        <v>110</v>
      </c>
      <c r="F87" t="s">
        <v>52</v>
      </c>
      <c r="G87">
        <v>1000</v>
      </c>
      <c r="H87">
        <v>25</v>
      </c>
      <c r="I87">
        <v>1200</v>
      </c>
      <c r="J87">
        <v>0.85</v>
      </c>
      <c r="K87" t="s">
        <v>146</v>
      </c>
    </row>
    <row r="88" spans="1:11" x14ac:dyDescent="0.25">
      <c r="A88" t="s">
        <v>80</v>
      </c>
      <c r="B88" t="s">
        <v>69</v>
      </c>
      <c r="C88" t="s">
        <v>14</v>
      </c>
      <c r="D88" s="3">
        <v>48</v>
      </c>
      <c r="E88" t="s">
        <v>110</v>
      </c>
      <c r="F88" t="s">
        <v>52</v>
      </c>
      <c r="G88">
        <v>5000</v>
      </c>
      <c r="H88">
        <v>2</v>
      </c>
      <c r="I88">
        <v>1000</v>
      </c>
      <c r="J88">
        <v>0.98</v>
      </c>
      <c r="K88" t="s">
        <v>147</v>
      </c>
    </row>
    <row r="89" spans="1:11" x14ac:dyDescent="0.25">
      <c r="A89" t="s">
        <v>80</v>
      </c>
      <c r="B89" t="s">
        <v>69</v>
      </c>
      <c r="C89" t="s">
        <v>83</v>
      </c>
      <c r="D89" s="3">
        <v>50</v>
      </c>
      <c r="E89" t="s">
        <v>110</v>
      </c>
      <c r="F89" t="s">
        <v>52</v>
      </c>
      <c r="G89">
        <v>2000</v>
      </c>
      <c r="H89">
        <v>5</v>
      </c>
      <c r="I89">
        <v>150</v>
      </c>
      <c r="J89">
        <v>0.9</v>
      </c>
      <c r="K89" t="s">
        <v>148</v>
      </c>
    </row>
    <row r="90" spans="1:11" x14ac:dyDescent="0.25">
      <c r="A90" t="s">
        <v>80</v>
      </c>
      <c r="B90" t="s">
        <v>69</v>
      </c>
      <c r="C90" t="s">
        <v>84</v>
      </c>
      <c r="D90" s="3">
        <v>75</v>
      </c>
      <c r="E90" t="s">
        <v>110</v>
      </c>
      <c r="F90" t="s">
        <v>52</v>
      </c>
      <c r="G90">
        <v>2000</v>
      </c>
      <c r="H90">
        <v>50</v>
      </c>
      <c r="I90">
        <v>1500</v>
      </c>
      <c r="J90">
        <v>0.98</v>
      </c>
      <c r="K90" t="s">
        <v>149</v>
      </c>
    </row>
    <row r="91" spans="1:11" x14ac:dyDescent="0.25">
      <c r="A91" t="s">
        <v>80</v>
      </c>
      <c r="B91" t="s">
        <v>69</v>
      </c>
      <c r="C91" t="s">
        <v>82</v>
      </c>
      <c r="D91">
        <v>127</v>
      </c>
      <c r="E91" t="s">
        <v>110</v>
      </c>
      <c r="F91" t="s">
        <v>52</v>
      </c>
      <c r="G91">
        <v>1500</v>
      </c>
      <c r="H91">
        <v>20</v>
      </c>
      <c r="I91">
        <v>1200</v>
      </c>
      <c r="J91">
        <v>40</v>
      </c>
      <c r="K91" t="s">
        <v>150</v>
      </c>
    </row>
    <row r="92" spans="1:11" x14ac:dyDescent="0.25">
      <c r="D92" s="3"/>
    </row>
    <row r="93" spans="1:11" x14ac:dyDescent="0.25">
      <c r="D93" s="3"/>
    </row>
    <row r="94" spans="1:11" x14ac:dyDescent="0.25">
      <c r="D94" s="3"/>
    </row>
    <row r="95" spans="1:11" x14ac:dyDescent="0.25">
      <c r="D95" s="3"/>
    </row>
    <row r="96" spans="1:11" x14ac:dyDescent="0.25">
      <c r="D96" s="3"/>
    </row>
    <row r="97" spans="4:4" x14ac:dyDescent="0.25">
      <c r="D97" s="3"/>
    </row>
    <row r="98" spans="4:4" x14ac:dyDescent="0.25">
      <c r="D98" s="3"/>
    </row>
    <row r="99" spans="4:4" x14ac:dyDescent="0.25">
      <c r="D99" s="3"/>
    </row>
    <row r="100" spans="4:4" x14ac:dyDescent="0.25">
      <c r="D100" s="3"/>
    </row>
    <row r="102" spans="4:4" x14ac:dyDescent="0.25">
      <c r="D102" s="3"/>
    </row>
    <row r="103" spans="4:4" x14ac:dyDescent="0.25">
      <c r="D103" s="3"/>
    </row>
    <row r="104" spans="4:4" x14ac:dyDescent="0.25">
      <c r="D104" s="3"/>
    </row>
    <row r="105" spans="4:4" x14ac:dyDescent="0.25">
      <c r="D105" s="3"/>
    </row>
    <row r="106" spans="4:4" x14ac:dyDescent="0.25">
      <c r="D106" s="3"/>
    </row>
    <row r="107" spans="4:4" x14ac:dyDescent="0.25">
      <c r="D107" s="3"/>
    </row>
    <row r="108" spans="4:4" x14ac:dyDescent="0.25">
      <c r="D108" s="3"/>
    </row>
    <row r="109" spans="4:4" x14ac:dyDescent="0.25">
      <c r="D109" s="3"/>
    </row>
    <row r="110" spans="4:4" x14ac:dyDescent="0.25">
      <c r="D11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52089-44B0-CB4A-9F7C-8D3054D39497}">
  <dimension ref="A1:L110"/>
  <sheetViews>
    <sheetView workbookViewId="0">
      <selection activeCell="D16" sqref="D16"/>
    </sheetView>
  </sheetViews>
  <sheetFormatPr defaultColWidth="11" defaultRowHeight="15.75" x14ac:dyDescent="0.25"/>
  <cols>
    <col min="10" max="10" width="11.625" bestFit="1" customWidth="1"/>
  </cols>
  <sheetData>
    <row r="1" spans="1:12" x14ac:dyDescent="0.25">
      <c r="A1" t="s">
        <v>0</v>
      </c>
      <c r="B1" t="s">
        <v>39</v>
      </c>
      <c r="C1" t="s">
        <v>1</v>
      </c>
      <c r="D1" t="s">
        <v>108</v>
      </c>
      <c r="E1" t="s">
        <v>3</v>
      </c>
      <c r="F1" t="s">
        <v>37</v>
      </c>
      <c r="G1" t="s">
        <v>40</v>
      </c>
      <c r="H1" t="s">
        <v>41</v>
      </c>
      <c r="I1" t="s">
        <v>77</v>
      </c>
      <c r="J1" t="s">
        <v>78</v>
      </c>
      <c r="K1" t="s">
        <v>79</v>
      </c>
      <c r="L1" t="s">
        <v>106</v>
      </c>
    </row>
    <row r="2" spans="1:12" x14ac:dyDescent="0.25">
      <c r="A2" t="s">
        <v>80</v>
      </c>
      <c r="B2" t="s">
        <v>81</v>
      </c>
      <c r="C2" t="s">
        <v>10</v>
      </c>
      <c r="D2" s="3">
        <v>14</v>
      </c>
      <c r="E2" t="s">
        <v>107</v>
      </c>
      <c r="F2" t="s">
        <v>38</v>
      </c>
      <c r="G2">
        <v>100</v>
      </c>
      <c r="H2">
        <v>50</v>
      </c>
      <c r="I2">
        <v>30</v>
      </c>
      <c r="J2">
        <v>0.5</v>
      </c>
      <c r="K2">
        <v>2</v>
      </c>
      <c r="L2" t="str">
        <f t="shared" ref="L2:L41" si="0">CONCATENATE("I'm using mealpy library to solve Travelling Salesman Problem. My problem instance has ", D2, " cities. I want to use Ant Colony Optimizer to solve it.",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Travelling Salesman Problem. My problem instance has 14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 spans="1:12" x14ac:dyDescent="0.25">
      <c r="A3" t="s">
        <v>80</v>
      </c>
      <c r="B3" t="s">
        <v>81</v>
      </c>
      <c r="C3" t="s">
        <v>4</v>
      </c>
      <c r="D3" s="3">
        <v>16</v>
      </c>
      <c r="E3" t="s">
        <v>107</v>
      </c>
      <c r="F3" t="s">
        <v>38</v>
      </c>
      <c r="G3">
        <v>500</v>
      </c>
      <c r="H3">
        <v>50</v>
      </c>
      <c r="I3">
        <v>20</v>
      </c>
      <c r="J3">
        <v>0.5</v>
      </c>
      <c r="K3">
        <v>2</v>
      </c>
      <c r="L3" t="str">
        <f t="shared" si="0"/>
        <v>I'm using mealpy library to solve Travelling Salesman Problem. My problem instance has 16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4" spans="1:12" x14ac:dyDescent="0.25">
      <c r="A4" t="s">
        <v>80</v>
      </c>
      <c r="B4" t="s">
        <v>81</v>
      </c>
      <c r="C4" t="s">
        <v>15</v>
      </c>
      <c r="D4" s="3">
        <v>20</v>
      </c>
      <c r="E4" t="s">
        <v>107</v>
      </c>
      <c r="F4" t="s">
        <v>38</v>
      </c>
      <c r="G4">
        <v>1000</v>
      </c>
      <c r="H4">
        <v>50</v>
      </c>
      <c r="I4">
        <v>25</v>
      </c>
      <c r="J4">
        <v>0.5</v>
      </c>
      <c r="K4">
        <v>2</v>
      </c>
      <c r="L4" t="str">
        <f t="shared" si="0"/>
        <v>I'm using mealpy library to solve Travelling Salesman Problem. My problem instance has 20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5" spans="1:12" x14ac:dyDescent="0.25">
      <c r="A5" t="s">
        <v>80</v>
      </c>
      <c r="B5" t="s">
        <v>81</v>
      </c>
      <c r="C5" t="s">
        <v>11</v>
      </c>
      <c r="D5" s="3">
        <v>22</v>
      </c>
      <c r="E5" t="s">
        <v>107</v>
      </c>
      <c r="F5" t="s">
        <v>38</v>
      </c>
      <c r="G5">
        <v>500</v>
      </c>
      <c r="H5">
        <v>100</v>
      </c>
      <c r="I5">
        <v>25</v>
      </c>
      <c r="J5">
        <v>0.5</v>
      </c>
      <c r="K5">
        <v>2</v>
      </c>
      <c r="L5" t="str">
        <f t="shared" si="0"/>
        <v>I'm using mealpy library to solve Travelling Salesman Problem. My problem instance has 22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6" spans="1:12" x14ac:dyDescent="0.25">
      <c r="A6" t="s">
        <v>80</v>
      </c>
      <c r="B6" t="s">
        <v>81</v>
      </c>
      <c r="C6" t="s">
        <v>12</v>
      </c>
      <c r="D6" s="3">
        <v>29</v>
      </c>
      <c r="E6" t="s">
        <v>107</v>
      </c>
      <c r="F6" t="s">
        <v>38</v>
      </c>
      <c r="G6">
        <v>500</v>
      </c>
      <c r="H6">
        <v>50</v>
      </c>
      <c r="I6">
        <v>25</v>
      </c>
      <c r="J6">
        <v>0.5</v>
      </c>
      <c r="K6">
        <v>2</v>
      </c>
      <c r="L6" t="str">
        <f t="shared" si="0"/>
        <v>I'm using mealpy library to solve Travelling Salesman Problem. My problem instance has 29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7" spans="1:12" x14ac:dyDescent="0.25">
      <c r="A7" t="s">
        <v>80</v>
      </c>
      <c r="B7" t="s">
        <v>81</v>
      </c>
      <c r="C7" t="s">
        <v>13</v>
      </c>
      <c r="D7" s="3">
        <v>30</v>
      </c>
      <c r="E7" t="s">
        <v>107</v>
      </c>
      <c r="F7" t="s">
        <v>38</v>
      </c>
      <c r="G7">
        <v>500</v>
      </c>
      <c r="H7">
        <v>50</v>
      </c>
      <c r="I7">
        <v>20</v>
      </c>
      <c r="J7">
        <v>0.5</v>
      </c>
      <c r="K7">
        <v>2</v>
      </c>
      <c r="L7" t="str">
        <f t="shared" si="0"/>
        <v>I'm using mealpy library to solve Travelling Salesman Problem. My problem instance has 30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8" spans="1:12" x14ac:dyDescent="0.25">
      <c r="A8" t="s">
        <v>80</v>
      </c>
      <c r="B8" t="s">
        <v>81</v>
      </c>
      <c r="C8" t="s">
        <v>14</v>
      </c>
      <c r="D8" s="3">
        <v>48</v>
      </c>
      <c r="E8" t="s">
        <v>107</v>
      </c>
      <c r="F8" t="s">
        <v>38</v>
      </c>
      <c r="G8">
        <v>500</v>
      </c>
      <c r="H8">
        <v>100</v>
      </c>
      <c r="I8">
        <v>25</v>
      </c>
      <c r="J8">
        <v>0.5</v>
      </c>
      <c r="K8">
        <v>2</v>
      </c>
      <c r="L8" t="str">
        <f t="shared" si="0"/>
        <v>I'm using mealpy library to solve Travelling Salesman Problem. My problem instance has 48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9" spans="1:12" x14ac:dyDescent="0.25">
      <c r="A9" t="s">
        <v>80</v>
      </c>
      <c r="B9" t="s">
        <v>81</v>
      </c>
      <c r="C9" t="s">
        <v>83</v>
      </c>
      <c r="D9" s="3">
        <v>50</v>
      </c>
      <c r="E9" t="s">
        <v>107</v>
      </c>
      <c r="F9" t="s">
        <v>38</v>
      </c>
      <c r="G9">
        <v>100</v>
      </c>
      <c r="H9">
        <v>50</v>
      </c>
      <c r="I9">
        <v>25</v>
      </c>
      <c r="J9">
        <v>0.5</v>
      </c>
      <c r="K9">
        <v>2</v>
      </c>
      <c r="L9" t="str">
        <f t="shared" si="0"/>
        <v>I'm using mealpy library to solve Travelling Salesman Problem. My problem instance has 50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0" spans="1:12" x14ac:dyDescent="0.25">
      <c r="A10" t="s">
        <v>80</v>
      </c>
      <c r="B10" t="s">
        <v>81</v>
      </c>
      <c r="C10" t="s">
        <v>84</v>
      </c>
      <c r="D10" s="3">
        <v>75</v>
      </c>
      <c r="E10" t="s">
        <v>107</v>
      </c>
      <c r="F10" t="s">
        <v>38</v>
      </c>
      <c r="G10">
        <v>500</v>
      </c>
      <c r="H10">
        <v>50</v>
      </c>
      <c r="I10">
        <v>25</v>
      </c>
      <c r="J10">
        <v>0.5</v>
      </c>
      <c r="K10">
        <v>2</v>
      </c>
      <c r="L10" t="str">
        <f t="shared" si="0"/>
        <v>I'm using mealpy library to solve Travelling Salesman Problem. My problem instance has 75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1" spans="1:12" x14ac:dyDescent="0.25">
      <c r="A11" t="s">
        <v>80</v>
      </c>
      <c r="B11" t="s">
        <v>81</v>
      </c>
      <c r="C11" t="s">
        <v>82</v>
      </c>
      <c r="D11">
        <v>127</v>
      </c>
      <c r="E11" t="s">
        <v>107</v>
      </c>
      <c r="F11" t="s">
        <v>38</v>
      </c>
      <c r="G11">
        <v>500</v>
      </c>
      <c r="H11">
        <v>100</v>
      </c>
      <c r="I11">
        <v>25</v>
      </c>
      <c r="J11">
        <v>0.5</v>
      </c>
      <c r="K11">
        <v>2</v>
      </c>
      <c r="L11" t="str">
        <f t="shared" si="0"/>
        <v>I'm using mealpy library to solve Travelling Salesman Problem. My problem instance has 127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2" spans="1:12" x14ac:dyDescent="0.25">
      <c r="A12" t="s">
        <v>80</v>
      </c>
      <c r="B12" t="s">
        <v>81</v>
      </c>
      <c r="C12" t="s">
        <v>10</v>
      </c>
      <c r="D12" s="3">
        <v>14</v>
      </c>
      <c r="E12" t="s">
        <v>109</v>
      </c>
      <c r="F12" t="s">
        <v>38</v>
      </c>
      <c r="G12">
        <v>1000</v>
      </c>
      <c r="H12">
        <v>50</v>
      </c>
      <c r="I12">
        <v>10</v>
      </c>
      <c r="J12">
        <v>0.8</v>
      </c>
      <c r="K12">
        <v>2</v>
      </c>
      <c r="L12" t="str">
        <f t="shared" si="0"/>
        <v>I'm using mealpy library to solve Travelling Salesman Problem. My problem instance has 14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3" spans="1:12" x14ac:dyDescent="0.25">
      <c r="A13" t="s">
        <v>80</v>
      </c>
      <c r="B13" t="s">
        <v>81</v>
      </c>
      <c r="C13" t="s">
        <v>4</v>
      </c>
      <c r="D13" s="3">
        <v>16</v>
      </c>
      <c r="E13" t="s">
        <v>109</v>
      </c>
      <c r="F13" t="s">
        <v>38</v>
      </c>
      <c r="G13">
        <v>100</v>
      </c>
      <c r="H13">
        <v>50</v>
      </c>
      <c r="I13">
        <v>20</v>
      </c>
      <c r="J13">
        <v>0.8</v>
      </c>
      <c r="K13">
        <v>2</v>
      </c>
      <c r="L13" t="str">
        <f t="shared" si="0"/>
        <v>I'm using mealpy library to solve Travelling Salesman Problem. My problem instance has 16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4" spans="1:12" x14ac:dyDescent="0.25">
      <c r="A14" t="s">
        <v>80</v>
      </c>
      <c r="B14" t="s">
        <v>81</v>
      </c>
      <c r="C14" t="s">
        <v>15</v>
      </c>
      <c r="D14" s="3">
        <v>20</v>
      </c>
      <c r="E14" t="s">
        <v>109</v>
      </c>
      <c r="F14" t="s">
        <v>38</v>
      </c>
      <c r="G14">
        <v>100</v>
      </c>
      <c r="H14">
        <v>50</v>
      </c>
      <c r="I14">
        <v>10</v>
      </c>
      <c r="J14">
        <v>0.9</v>
      </c>
      <c r="K14">
        <v>2</v>
      </c>
      <c r="L14" t="str">
        <f t="shared" si="0"/>
        <v>I'm using mealpy library to solve Travelling Salesman Problem. My problem instance has 20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5" spans="1:12" x14ac:dyDescent="0.25">
      <c r="A15" t="s">
        <v>80</v>
      </c>
      <c r="B15" t="s">
        <v>81</v>
      </c>
      <c r="C15" t="s">
        <v>11</v>
      </c>
      <c r="D15" s="3">
        <v>22</v>
      </c>
      <c r="E15" t="s">
        <v>109</v>
      </c>
      <c r="F15" t="s">
        <v>38</v>
      </c>
      <c r="G15">
        <v>100</v>
      </c>
      <c r="H15">
        <v>50</v>
      </c>
      <c r="I15">
        <v>20</v>
      </c>
      <c r="J15">
        <v>0.7</v>
      </c>
      <c r="K15">
        <v>2</v>
      </c>
      <c r="L15" t="str">
        <f t="shared" si="0"/>
        <v>I'm using mealpy library to solve Travelling Salesman Problem. My problem instance has 22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6" spans="1:12" x14ac:dyDescent="0.25">
      <c r="A16" t="s">
        <v>80</v>
      </c>
      <c r="B16" t="s">
        <v>81</v>
      </c>
      <c r="C16" t="s">
        <v>12</v>
      </c>
      <c r="D16" s="3">
        <v>29</v>
      </c>
      <c r="E16" t="s">
        <v>109</v>
      </c>
      <c r="F16" t="s">
        <v>38</v>
      </c>
      <c r="G16">
        <v>100</v>
      </c>
      <c r="H16">
        <v>50</v>
      </c>
      <c r="I16">
        <v>25</v>
      </c>
      <c r="J16">
        <v>0.8</v>
      </c>
      <c r="K16">
        <v>2</v>
      </c>
      <c r="L16" t="str">
        <f t="shared" si="0"/>
        <v>I'm using mealpy library to solve Travelling Salesman Problem. My problem instance has 29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7" spans="1:12" x14ac:dyDescent="0.25">
      <c r="A17" t="s">
        <v>80</v>
      </c>
      <c r="B17" t="s">
        <v>81</v>
      </c>
      <c r="C17" t="s">
        <v>13</v>
      </c>
      <c r="D17" s="3">
        <v>30</v>
      </c>
      <c r="E17" t="s">
        <v>109</v>
      </c>
      <c r="F17" t="s">
        <v>38</v>
      </c>
      <c r="G17">
        <v>100</v>
      </c>
      <c r="H17">
        <v>50</v>
      </c>
      <c r="I17">
        <v>30</v>
      </c>
      <c r="J17">
        <v>0.5</v>
      </c>
      <c r="K17">
        <v>2</v>
      </c>
      <c r="L17" t="str">
        <f t="shared" si="0"/>
        <v>I'm using mealpy library to solve Travelling Salesman Problem. My problem instance has 30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8" spans="1:12" x14ac:dyDescent="0.25">
      <c r="A18" t="s">
        <v>80</v>
      </c>
      <c r="B18" t="s">
        <v>81</v>
      </c>
      <c r="C18" t="s">
        <v>14</v>
      </c>
      <c r="D18" s="3">
        <v>48</v>
      </c>
      <c r="E18" t="s">
        <v>109</v>
      </c>
      <c r="F18" t="s">
        <v>38</v>
      </c>
      <c r="G18">
        <v>500</v>
      </c>
      <c r="H18">
        <v>100</v>
      </c>
      <c r="I18">
        <v>20</v>
      </c>
      <c r="J18">
        <v>0.7</v>
      </c>
      <c r="K18">
        <v>2</v>
      </c>
      <c r="L18" t="str">
        <f t="shared" si="0"/>
        <v>I'm using mealpy library to solve Travelling Salesman Problem. My problem instance has 48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9" spans="1:12" x14ac:dyDescent="0.25">
      <c r="A19" t="s">
        <v>80</v>
      </c>
      <c r="B19" t="s">
        <v>81</v>
      </c>
      <c r="C19" t="s">
        <v>83</v>
      </c>
      <c r="D19" s="3">
        <v>50</v>
      </c>
      <c r="E19" t="s">
        <v>109</v>
      </c>
      <c r="F19" t="s">
        <v>38</v>
      </c>
      <c r="G19">
        <v>1000</v>
      </c>
      <c r="H19">
        <v>50</v>
      </c>
      <c r="I19">
        <v>25</v>
      </c>
      <c r="J19">
        <v>0.8</v>
      </c>
      <c r="K19">
        <v>2</v>
      </c>
      <c r="L19" t="str">
        <f t="shared" si="0"/>
        <v>I'm using mealpy library to solve Travelling Salesman Problem. My problem instance has 50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0" spans="1:12" x14ac:dyDescent="0.25">
      <c r="A20" t="s">
        <v>80</v>
      </c>
      <c r="B20" t="s">
        <v>81</v>
      </c>
      <c r="C20" t="s">
        <v>84</v>
      </c>
      <c r="D20" s="3">
        <v>75</v>
      </c>
      <c r="E20" t="s">
        <v>109</v>
      </c>
      <c r="F20" t="s">
        <v>38</v>
      </c>
      <c r="G20">
        <v>1000</v>
      </c>
      <c r="H20">
        <v>50</v>
      </c>
      <c r="I20">
        <v>25</v>
      </c>
      <c r="J20">
        <v>0.8</v>
      </c>
      <c r="K20">
        <v>2</v>
      </c>
      <c r="L20" t="str">
        <f t="shared" si="0"/>
        <v>I'm using mealpy library to solve Travelling Salesman Problem. My problem instance has 75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1" spans="1:12" x14ac:dyDescent="0.25">
      <c r="A21" t="s">
        <v>80</v>
      </c>
      <c r="B21" t="s">
        <v>81</v>
      </c>
      <c r="C21" t="s">
        <v>82</v>
      </c>
      <c r="D21">
        <v>127</v>
      </c>
      <c r="E21" t="s">
        <v>109</v>
      </c>
      <c r="F21" t="s">
        <v>38</v>
      </c>
      <c r="G21">
        <v>500</v>
      </c>
      <c r="H21">
        <v>50</v>
      </c>
      <c r="I21">
        <v>20</v>
      </c>
      <c r="J21">
        <v>0.8</v>
      </c>
      <c r="K21">
        <v>2</v>
      </c>
      <c r="L21" t="str">
        <f t="shared" si="0"/>
        <v>I'm using mealpy library to solve Travelling Salesman Problem. My problem instance has 127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2" spans="1:12" x14ac:dyDescent="0.25">
      <c r="A22" t="s">
        <v>80</v>
      </c>
      <c r="B22" t="s">
        <v>81</v>
      </c>
      <c r="C22" t="s">
        <v>10</v>
      </c>
      <c r="D22" s="3">
        <v>14</v>
      </c>
      <c r="E22" t="s">
        <v>8</v>
      </c>
      <c r="F22" t="s">
        <v>38</v>
      </c>
      <c r="G22">
        <v>100</v>
      </c>
      <c r="H22">
        <v>20</v>
      </c>
      <c r="I22">
        <v>10</v>
      </c>
      <c r="J22">
        <v>0.8</v>
      </c>
      <c r="K22">
        <v>2</v>
      </c>
      <c r="L22" t="str">
        <f t="shared" si="0"/>
        <v>I'm using mealpy library to solve Travelling Salesman Problem. My problem instance has 14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3" spans="1:12" x14ac:dyDescent="0.25">
      <c r="A23" t="s">
        <v>80</v>
      </c>
      <c r="B23" t="s">
        <v>81</v>
      </c>
      <c r="C23" t="s">
        <v>4</v>
      </c>
      <c r="D23" s="3">
        <v>16</v>
      </c>
      <c r="E23" t="s">
        <v>8</v>
      </c>
      <c r="F23" t="s">
        <v>38</v>
      </c>
      <c r="G23">
        <v>100</v>
      </c>
      <c r="H23">
        <v>20</v>
      </c>
      <c r="I23">
        <v>10</v>
      </c>
      <c r="J23">
        <v>0.8</v>
      </c>
      <c r="K23">
        <v>2</v>
      </c>
      <c r="L23" t="str">
        <f t="shared" si="0"/>
        <v>I'm using mealpy library to solve Travelling Salesman Problem. My problem instance has 16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4" spans="1:12" x14ac:dyDescent="0.25">
      <c r="A24" t="s">
        <v>80</v>
      </c>
      <c r="B24" t="s">
        <v>81</v>
      </c>
      <c r="C24" t="s">
        <v>15</v>
      </c>
      <c r="D24" s="3">
        <v>20</v>
      </c>
      <c r="E24" t="s">
        <v>8</v>
      </c>
      <c r="F24" t="s">
        <v>38</v>
      </c>
      <c r="G24">
        <v>100</v>
      </c>
      <c r="H24">
        <v>25</v>
      </c>
      <c r="I24">
        <v>10</v>
      </c>
      <c r="J24">
        <v>0.8</v>
      </c>
      <c r="K24">
        <v>2</v>
      </c>
      <c r="L24" t="str">
        <f t="shared" si="0"/>
        <v>I'm using mealpy library to solve Travelling Salesman Problem. My problem instance has 20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5" spans="1:12" x14ac:dyDescent="0.25">
      <c r="A25" t="s">
        <v>80</v>
      </c>
      <c r="B25" t="s">
        <v>81</v>
      </c>
      <c r="C25" t="s">
        <v>11</v>
      </c>
      <c r="D25" s="3">
        <v>22</v>
      </c>
      <c r="E25" t="s">
        <v>8</v>
      </c>
      <c r="F25" t="s">
        <v>38</v>
      </c>
      <c r="G25">
        <v>100</v>
      </c>
      <c r="H25">
        <v>30</v>
      </c>
      <c r="I25">
        <v>10</v>
      </c>
      <c r="J25">
        <v>0.8</v>
      </c>
      <c r="K25">
        <v>2</v>
      </c>
      <c r="L25" t="str">
        <f t="shared" si="0"/>
        <v>I'm using mealpy library to solve Travelling Salesman Problem. My problem instance has 22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6" spans="1:12" x14ac:dyDescent="0.25">
      <c r="A26" t="s">
        <v>80</v>
      </c>
      <c r="B26" t="s">
        <v>81</v>
      </c>
      <c r="C26" t="s">
        <v>12</v>
      </c>
      <c r="D26" s="3">
        <v>29</v>
      </c>
      <c r="E26" t="s">
        <v>8</v>
      </c>
      <c r="F26" t="s">
        <v>38</v>
      </c>
      <c r="G26">
        <v>100</v>
      </c>
      <c r="H26">
        <v>30</v>
      </c>
      <c r="I26">
        <v>15</v>
      </c>
      <c r="J26">
        <v>0.8</v>
      </c>
      <c r="K26">
        <v>2</v>
      </c>
      <c r="L26" t="str">
        <f t="shared" si="0"/>
        <v>I'm using mealpy library to solve Travelling Salesman Problem. My problem instance has 29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7" spans="1:12" x14ac:dyDescent="0.25">
      <c r="A27" t="s">
        <v>80</v>
      </c>
      <c r="B27" t="s">
        <v>81</v>
      </c>
      <c r="C27" t="s">
        <v>13</v>
      </c>
      <c r="D27" s="3">
        <v>30</v>
      </c>
      <c r="E27" t="s">
        <v>8</v>
      </c>
      <c r="F27" t="s">
        <v>38</v>
      </c>
      <c r="G27">
        <v>100</v>
      </c>
      <c r="H27">
        <v>30</v>
      </c>
      <c r="I27">
        <v>15</v>
      </c>
      <c r="J27">
        <v>0.8</v>
      </c>
      <c r="K27">
        <v>2</v>
      </c>
      <c r="L27" t="str">
        <f t="shared" si="0"/>
        <v>I'm using mealpy library to solve Travelling Salesman Problem. My problem instance has 30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8" spans="1:12" x14ac:dyDescent="0.25">
      <c r="A28" t="s">
        <v>80</v>
      </c>
      <c r="B28" t="s">
        <v>81</v>
      </c>
      <c r="C28" t="s">
        <v>14</v>
      </c>
      <c r="D28" s="3">
        <v>48</v>
      </c>
      <c r="E28" t="s">
        <v>8</v>
      </c>
      <c r="F28" t="s">
        <v>38</v>
      </c>
      <c r="G28">
        <v>100</v>
      </c>
      <c r="H28">
        <v>50</v>
      </c>
      <c r="I28">
        <v>20</v>
      </c>
      <c r="J28">
        <v>0.7</v>
      </c>
      <c r="K28">
        <v>2</v>
      </c>
      <c r="L28" t="str">
        <f t="shared" si="0"/>
        <v>I'm using mealpy library to solve Travelling Salesman Problem. My problem instance has 48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9" spans="1:12" x14ac:dyDescent="0.25">
      <c r="A29" t="s">
        <v>80</v>
      </c>
      <c r="B29" t="s">
        <v>81</v>
      </c>
      <c r="C29" t="s">
        <v>83</v>
      </c>
      <c r="D29" s="3">
        <v>50</v>
      </c>
      <c r="E29" t="s">
        <v>8</v>
      </c>
      <c r="F29" t="s">
        <v>38</v>
      </c>
      <c r="G29">
        <v>100</v>
      </c>
      <c r="H29">
        <v>30</v>
      </c>
      <c r="I29">
        <v>10</v>
      </c>
      <c r="J29">
        <v>0.8</v>
      </c>
      <c r="K29">
        <v>2</v>
      </c>
      <c r="L29" t="str">
        <f t="shared" si="0"/>
        <v>I'm using mealpy library to solve Travelling Salesman Problem. My problem instance has 50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0" spans="1:12" x14ac:dyDescent="0.25">
      <c r="A30" t="s">
        <v>80</v>
      </c>
      <c r="B30" t="s">
        <v>81</v>
      </c>
      <c r="C30" t="s">
        <v>84</v>
      </c>
      <c r="D30" s="3">
        <v>75</v>
      </c>
      <c r="E30" t="s">
        <v>8</v>
      </c>
      <c r="F30" t="s">
        <v>38</v>
      </c>
      <c r="G30">
        <v>150</v>
      </c>
      <c r="H30">
        <v>40</v>
      </c>
      <c r="I30">
        <v>20</v>
      </c>
      <c r="J30">
        <v>0.8</v>
      </c>
      <c r="K30">
        <v>2</v>
      </c>
      <c r="L30" t="str">
        <f t="shared" si="0"/>
        <v>I'm using mealpy library to solve Travelling Salesman Problem. My problem instance has 75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1" spans="1:12" x14ac:dyDescent="0.25">
      <c r="A31" t="s">
        <v>80</v>
      </c>
      <c r="B31" t="s">
        <v>81</v>
      </c>
      <c r="C31" t="s">
        <v>82</v>
      </c>
      <c r="D31">
        <v>127</v>
      </c>
      <c r="E31" t="s">
        <v>8</v>
      </c>
      <c r="F31" t="s">
        <v>38</v>
      </c>
      <c r="G31">
        <v>200</v>
      </c>
      <c r="H31">
        <v>50</v>
      </c>
      <c r="I31">
        <v>20</v>
      </c>
      <c r="J31">
        <v>0.8</v>
      </c>
      <c r="K31">
        <v>2</v>
      </c>
      <c r="L31" t="str">
        <f t="shared" si="0"/>
        <v>I'm using mealpy library to solve Travelling Salesman Problem. My problem instance has 127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2" spans="1:12" x14ac:dyDescent="0.25">
      <c r="A32" t="s">
        <v>80</v>
      </c>
      <c r="B32" t="s">
        <v>81</v>
      </c>
      <c r="C32" t="s">
        <v>10</v>
      </c>
      <c r="D32" s="3">
        <v>14</v>
      </c>
      <c r="E32" t="s">
        <v>110</v>
      </c>
      <c r="F32" t="s">
        <v>38</v>
      </c>
      <c r="G32">
        <v>1000</v>
      </c>
      <c r="H32">
        <v>50</v>
      </c>
      <c r="I32">
        <v>14</v>
      </c>
      <c r="J32">
        <v>0.5</v>
      </c>
      <c r="K32">
        <v>2</v>
      </c>
      <c r="L32" t="str">
        <f t="shared" si="0"/>
        <v>I'm using mealpy library to solve Travelling Salesman Problem. My problem instance has 14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3" spans="1:12" x14ac:dyDescent="0.25">
      <c r="A33" t="s">
        <v>80</v>
      </c>
      <c r="B33" t="s">
        <v>81</v>
      </c>
      <c r="C33" t="s">
        <v>4</v>
      </c>
      <c r="D33" s="3">
        <v>16</v>
      </c>
      <c r="E33" t="s">
        <v>110</v>
      </c>
      <c r="F33" t="s">
        <v>38</v>
      </c>
      <c r="G33">
        <v>100</v>
      </c>
      <c r="H33">
        <v>50</v>
      </c>
      <c r="I33">
        <v>20</v>
      </c>
      <c r="J33">
        <v>0.5</v>
      </c>
      <c r="K33">
        <v>2</v>
      </c>
      <c r="L33" t="str">
        <f t="shared" si="0"/>
        <v>I'm using mealpy library to solve Travelling Salesman Problem. My problem instance has 16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4" spans="1:12" x14ac:dyDescent="0.25">
      <c r="A34" t="s">
        <v>80</v>
      </c>
      <c r="B34" t="s">
        <v>81</v>
      </c>
      <c r="C34" t="s">
        <v>15</v>
      </c>
      <c r="D34" s="3">
        <v>20</v>
      </c>
      <c r="E34" t="s">
        <v>110</v>
      </c>
      <c r="F34" t="s">
        <v>38</v>
      </c>
      <c r="G34">
        <v>500</v>
      </c>
      <c r="H34">
        <v>50</v>
      </c>
      <c r="I34">
        <v>25</v>
      </c>
      <c r="J34">
        <v>0.5</v>
      </c>
      <c r="K34">
        <v>1</v>
      </c>
      <c r="L34" t="str">
        <f t="shared" si="0"/>
        <v>I'm using mealpy library to solve Travelling Salesman Problem. My problem instance has 20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5" spans="1:12" x14ac:dyDescent="0.25">
      <c r="A35" t="s">
        <v>80</v>
      </c>
      <c r="B35" t="s">
        <v>81</v>
      </c>
      <c r="C35" t="s">
        <v>11</v>
      </c>
      <c r="D35" s="3">
        <v>22</v>
      </c>
      <c r="E35" t="s">
        <v>110</v>
      </c>
      <c r="F35" t="s">
        <v>38</v>
      </c>
      <c r="G35">
        <v>500</v>
      </c>
      <c r="H35">
        <v>100</v>
      </c>
      <c r="I35">
        <v>22</v>
      </c>
      <c r="J35">
        <v>0.5</v>
      </c>
      <c r="K35">
        <v>2</v>
      </c>
      <c r="L35" t="str">
        <f t="shared" si="0"/>
        <v>I'm using mealpy library to solve Travelling Salesman Problem. My problem instance has 22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6" spans="1:12" x14ac:dyDescent="0.25">
      <c r="A36" t="s">
        <v>80</v>
      </c>
      <c r="B36" t="s">
        <v>81</v>
      </c>
      <c r="C36" t="s">
        <v>12</v>
      </c>
      <c r="D36" s="3">
        <v>29</v>
      </c>
      <c r="E36" t="s">
        <v>110</v>
      </c>
      <c r="F36" t="s">
        <v>38</v>
      </c>
      <c r="G36">
        <v>1000</v>
      </c>
      <c r="H36">
        <v>50</v>
      </c>
      <c r="I36">
        <v>29</v>
      </c>
      <c r="J36">
        <v>0.5</v>
      </c>
      <c r="K36">
        <v>2</v>
      </c>
      <c r="L36" t="str">
        <f t="shared" si="0"/>
        <v>I'm using mealpy library to solve Travelling Salesman Problem. My problem instance has 29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7" spans="1:12" x14ac:dyDescent="0.25">
      <c r="A37" t="s">
        <v>80</v>
      </c>
      <c r="B37" t="s">
        <v>81</v>
      </c>
      <c r="C37" t="s">
        <v>13</v>
      </c>
      <c r="D37" s="3">
        <v>30</v>
      </c>
      <c r="E37" t="s">
        <v>110</v>
      </c>
      <c r="F37" t="s">
        <v>38</v>
      </c>
      <c r="G37">
        <v>100</v>
      </c>
      <c r="H37">
        <v>30</v>
      </c>
      <c r="I37">
        <v>10</v>
      </c>
      <c r="J37">
        <v>0.5</v>
      </c>
      <c r="K37">
        <v>2</v>
      </c>
      <c r="L37" t="str">
        <f t="shared" si="0"/>
        <v>I'm using mealpy library to solve Travelling Salesman Problem. My problem instance has 30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8" spans="1:12" x14ac:dyDescent="0.25">
      <c r="A38" t="s">
        <v>80</v>
      </c>
      <c r="B38" t="s">
        <v>81</v>
      </c>
      <c r="C38" t="s">
        <v>14</v>
      </c>
      <c r="D38" s="3">
        <v>48</v>
      </c>
      <c r="E38" t="s">
        <v>110</v>
      </c>
      <c r="F38" t="s">
        <v>38</v>
      </c>
      <c r="G38">
        <v>1000</v>
      </c>
      <c r="H38">
        <v>100</v>
      </c>
      <c r="I38">
        <v>5</v>
      </c>
      <c r="J38">
        <v>0.5</v>
      </c>
      <c r="K38">
        <v>2</v>
      </c>
      <c r="L38" t="str">
        <f t="shared" si="0"/>
        <v>I'm using mealpy library to solve Travelling Salesman Problem. My problem instance has 48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9" spans="1:12" x14ac:dyDescent="0.25">
      <c r="A39" t="s">
        <v>80</v>
      </c>
      <c r="B39" t="s">
        <v>81</v>
      </c>
      <c r="C39" t="s">
        <v>83</v>
      </c>
      <c r="D39" s="3">
        <v>50</v>
      </c>
      <c r="E39" t="s">
        <v>110</v>
      </c>
      <c r="F39" t="s">
        <v>38</v>
      </c>
      <c r="G39">
        <v>500</v>
      </c>
      <c r="H39">
        <v>50</v>
      </c>
      <c r="I39">
        <v>25</v>
      </c>
      <c r="J39">
        <v>0.5</v>
      </c>
      <c r="K39">
        <v>2</v>
      </c>
      <c r="L39" t="str">
        <f t="shared" si="0"/>
        <v>I'm using mealpy library to solve Travelling Salesman Problem. My problem instance has 50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40" spans="1:12" x14ac:dyDescent="0.25">
      <c r="A40" t="s">
        <v>80</v>
      </c>
      <c r="B40" t="s">
        <v>81</v>
      </c>
      <c r="C40" t="s">
        <v>84</v>
      </c>
      <c r="D40" s="3">
        <v>75</v>
      </c>
      <c r="E40" t="s">
        <v>110</v>
      </c>
      <c r="F40" t="s">
        <v>38</v>
      </c>
      <c r="G40">
        <v>1000</v>
      </c>
      <c r="H40">
        <v>100</v>
      </c>
      <c r="I40">
        <v>25</v>
      </c>
      <c r="J40">
        <v>0.5</v>
      </c>
      <c r="K40">
        <v>2</v>
      </c>
      <c r="L40" t="str">
        <f t="shared" si="0"/>
        <v>I'm using mealpy library to solve Travelling Salesman Problem. My problem instance has 75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41" spans="1:12" s="6" customFormat="1" x14ac:dyDescent="0.25">
      <c r="A41" s="6" t="s">
        <v>80</v>
      </c>
      <c r="B41" s="6" t="s">
        <v>81</v>
      </c>
      <c r="C41" s="6" t="s">
        <v>82</v>
      </c>
      <c r="D41">
        <v>127</v>
      </c>
      <c r="E41" t="s">
        <v>110</v>
      </c>
      <c r="F41" s="6" t="s">
        <v>38</v>
      </c>
      <c r="G41">
        <v>500</v>
      </c>
      <c r="H41">
        <v>50</v>
      </c>
      <c r="I41">
        <v>10</v>
      </c>
      <c r="J41">
        <v>0.5</v>
      </c>
      <c r="K41">
        <v>1</v>
      </c>
      <c r="L41" t="str">
        <f t="shared" si="0"/>
        <v>I'm using mealpy library to solve Travelling Salesman Problem. My problem instance has 127 cities. I want to use Ant Colony Optimizer to solve it.Mealpy's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42" spans="1:12" x14ac:dyDescent="0.25">
      <c r="A42" t="s">
        <v>80</v>
      </c>
      <c r="B42" t="s">
        <v>81</v>
      </c>
      <c r="C42" t="s">
        <v>10</v>
      </c>
      <c r="D42" s="3">
        <v>14</v>
      </c>
      <c r="E42" t="s">
        <v>36</v>
      </c>
      <c r="F42" t="s">
        <v>38</v>
      </c>
      <c r="G42">
        <v>10000</v>
      </c>
      <c r="H42">
        <v>100</v>
      </c>
      <c r="I42">
        <v>25</v>
      </c>
      <c r="J42">
        <v>0.5</v>
      </c>
      <c r="K42">
        <v>1</v>
      </c>
    </row>
    <row r="43" spans="1:12" x14ac:dyDescent="0.25">
      <c r="A43" t="s">
        <v>80</v>
      </c>
      <c r="B43" t="s">
        <v>81</v>
      </c>
      <c r="C43" t="s">
        <v>4</v>
      </c>
      <c r="D43" s="3">
        <v>16</v>
      </c>
      <c r="E43" t="s">
        <v>36</v>
      </c>
      <c r="F43" t="s">
        <v>38</v>
      </c>
      <c r="G43">
        <v>10000</v>
      </c>
      <c r="H43">
        <v>100</v>
      </c>
      <c r="I43">
        <v>25</v>
      </c>
      <c r="J43">
        <v>0.5</v>
      </c>
      <c r="K43">
        <v>1</v>
      </c>
    </row>
    <row r="44" spans="1:12" x14ac:dyDescent="0.25">
      <c r="A44" t="s">
        <v>80</v>
      </c>
      <c r="B44" t="s">
        <v>81</v>
      </c>
      <c r="C44" t="s">
        <v>15</v>
      </c>
      <c r="D44" s="3">
        <v>20</v>
      </c>
      <c r="E44" t="s">
        <v>36</v>
      </c>
      <c r="F44" t="s">
        <v>38</v>
      </c>
      <c r="G44">
        <v>10000</v>
      </c>
      <c r="H44">
        <v>100</v>
      </c>
      <c r="I44">
        <v>25</v>
      </c>
      <c r="J44">
        <v>0.5</v>
      </c>
      <c r="K44">
        <v>1</v>
      </c>
    </row>
    <row r="45" spans="1:12" x14ac:dyDescent="0.25">
      <c r="A45" t="s">
        <v>80</v>
      </c>
      <c r="B45" t="s">
        <v>81</v>
      </c>
      <c r="C45" t="s">
        <v>11</v>
      </c>
      <c r="D45" s="3">
        <v>22</v>
      </c>
      <c r="E45" t="s">
        <v>36</v>
      </c>
      <c r="F45" t="s">
        <v>38</v>
      </c>
      <c r="G45">
        <v>10000</v>
      </c>
      <c r="H45">
        <v>100</v>
      </c>
      <c r="I45">
        <v>25</v>
      </c>
      <c r="J45">
        <v>0.5</v>
      </c>
      <c r="K45">
        <v>1</v>
      </c>
    </row>
    <row r="46" spans="1:12" x14ac:dyDescent="0.25">
      <c r="A46" t="s">
        <v>80</v>
      </c>
      <c r="B46" t="s">
        <v>81</v>
      </c>
      <c r="C46" t="s">
        <v>12</v>
      </c>
      <c r="D46" s="3">
        <v>29</v>
      </c>
      <c r="E46" t="s">
        <v>36</v>
      </c>
      <c r="F46" t="s">
        <v>38</v>
      </c>
      <c r="G46">
        <v>10000</v>
      </c>
      <c r="H46">
        <v>100</v>
      </c>
      <c r="I46">
        <v>25</v>
      </c>
      <c r="J46">
        <v>0.5</v>
      </c>
      <c r="K46">
        <v>1</v>
      </c>
    </row>
    <row r="47" spans="1:12" x14ac:dyDescent="0.25">
      <c r="A47" t="s">
        <v>80</v>
      </c>
      <c r="B47" t="s">
        <v>81</v>
      </c>
      <c r="C47" t="s">
        <v>13</v>
      </c>
      <c r="D47" s="3">
        <v>30</v>
      </c>
      <c r="E47" t="s">
        <v>36</v>
      </c>
      <c r="F47" t="s">
        <v>38</v>
      </c>
      <c r="G47">
        <v>10000</v>
      </c>
      <c r="H47">
        <v>100</v>
      </c>
      <c r="I47">
        <v>25</v>
      </c>
      <c r="J47">
        <v>0.5</v>
      </c>
      <c r="K47">
        <v>1</v>
      </c>
    </row>
    <row r="48" spans="1:12" x14ac:dyDescent="0.25">
      <c r="A48" t="s">
        <v>80</v>
      </c>
      <c r="B48" t="s">
        <v>81</v>
      </c>
      <c r="C48" t="s">
        <v>14</v>
      </c>
      <c r="D48" s="3">
        <v>48</v>
      </c>
      <c r="E48" t="s">
        <v>36</v>
      </c>
      <c r="F48" t="s">
        <v>38</v>
      </c>
      <c r="G48">
        <v>10000</v>
      </c>
      <c r="H48">
        <v>100</v>
      </c>
      <c r="I48">
        <v>25</v>
      </c>
      <c r="J48">
        <v>0.5</v>
      </c>
      <c r="K48">
        <v>1</v>
      </c>
    </row>
    <row r="49" spans="1:12" x14ac:dyDescent="0.25">
      <c r="A49" t="s">
        <v>80</v>
      </c>
      <c r="B49" t="s">
        <v>81</v>
      </c>
      <c r="C49" t="s">
        <v>83</v>
      </c>
      <c r="D49" s="3">
        <v>50</v>
      </c>
      <c r="E49" t="s">
        <v>36</v>
      </c>
      <c r="F49" t="s">
        <v>38</v>
      </c>
      <c r="G49">
        <v>10000</v>
      </c>
      <c r="H49">
        <v>100</v>
      </c>
      <c r="I49">
        <v>25</v>
      </c>
      <c r="J49">
        <v>0.5</v>
      </c>
      <c r="K49">
        <v>1</v>
      </c>
    </row>
    <row r="50" spans="1:12" x14ac:dyDescent="0.25">
      <c r="A50" t="s">
        <v>80</v>
      </c>
      <c r="B50" t="s">
        <v>81</v>
      </c>
      <c r="C50" t="s">
        <v>84</v>
      </c>
      <c r="D50" s="3">
        <v>75</v>
      </c>
      <c r="E50" t="s">
        <v>36</v>
      </c>
      <c r="F50" t="s">
        <v>38</v>
      </c>
      <c r="G50">
        <v>10000</v>
      </c>
      <c r="H50">
        <v>100</v>
      </c>
      <c r="I50">
        <v>25</v>
      </c>
      <c r="J50">
        <v>0.5</v>
      </c>
      <c r="K50">
        <v>1</v>
      </c>
    </row>
    <row r="51" spans="1:12" x14ac:dyDescent="0.25">
      <c r="A51" t="s">
        <v>80</v>
      </c>
      <c r="B51" t="s">
        <v>81</v>
      </c>
      <c r="C51" t="s">
        <v>82</v>
      </c>
      <c r="D51">
        <v>127</v>
      </c>
      <c r="E51" t="s">
        <v>36</v>
      </c>
      <c r="F51" t="s">
        <v>38</v>
      </c>
      <c r="G51">
        <v>10000</v>
      </c>
      <c r="H51">
        <v>100</v>
      </c>
      <c r="I51">
        <v>25</v>
      </c>
      <c r="J51">
        <v>0.5</v>
      </c>
      <c r="K51">
        <v>1</v>
      </c>
    </row>
    <row r="52" spans="1:12" x14ac:dyDescent="0.25">
      <c r="A52" t="s">
        <v>80</v>
      </c>
      <c r="B52" t="s">
        <v>81</v>
      </c>
      <c r="C52" t="s">
        <v>10</v>
      </c>
      <c r="D52" s="3">
        <v>14</v>
      </c>
      <c r="E52" t="s">
        <v>107</v>
      </c>
      <c r="F52" t="s">
        <v>52</v>
      </c>
      <c r="G52">
        <v>200</v>
      </c>
      <c r="H52">
        <v>25</v>
      </c>
      <c r="I52">
        <v>40</v>
      </c>
      <c r="J52">
        <v>0.8</v>
      </c>
      <c r="K52">
        <v>2</v>
      </c>
      <c r="L52" t="s">
        <v>151</v>
      </c>
    </row>
    <row r="53" spans="1:12" x14ac:dyDescent="0.25">
      <c r="A53" t="s">
        <v>80</v>
      </c>
      <c r="B53" t="s">
        <v>81</v>
      </c>
      <c r="C53" t="s">
        <v>4</v>
      </c>
      <c r="D53" s="3">
        <v>16</v>
      </c>
      <c r="E53" t="s">
        <v>107</v>
      </c>
      <c r="F53" t="s">
        <v>52</v>
      </c>
      <c r="G53">
        <v>250</v>
      </c>
      <c r="H53">
        <v>100</v>
      </c>
      <c r="I53">
        <v>30</v>
      </c>
      <c r="J53">
        <v>0.7</v>
      </c>
      <c r="K53">
        <v>2</v>
      </c>
      <c r="L53" t="s">
        <v>152</v>
      </c>
    </row>
    <row r="54" spans="1:12" x14ac:dyDescent="0.25">
      <c r="A54" t="s">
        <v>80</v>
      </c>
      <c r="B54" t="s">
        <v>81</v>
      </c>
      <c r="C54" t="s">
        <v>15</v>
      </c>
      <c r="D54" s="3">
        <v>20</v>
      </c>
      <c r="E54" t="s">
        <v>107</v>
      </c>
      <c r="F54" t="s">
        <v>52</v>
      </c>
      <c r="G54">
        <v>500</v>
      </c>
      <c r="H54">
        <v>100</v>
      </c>
      <c r="I54">
        <v>30</v>
      </c>
      <c r="J54">
        <v>0.7</v>
      </c>
      <c r="K54">
        <v>2</v>
      </c>
      <c r="L54" t="s">
        <v>153</v>
      </c>
    </row>
    <row r="55" spans="1:12" x14ac:dyDescent="0.25">
      <c r="A55" t="s">
        <v>80</v>
      </c>
      <c r="B55" t="s">
        <v>81</v>
      </c>
      <c r="C55" t="s">
        <v>11</v>
      </c>
      <c r="D55" s="3">
        <v>22</v>
      </c>
      <c r="E55" t="s">
        <v>107</v>
      </c>
      <c r="F55" t="s">
        <v>52</v>
      </c>
      <c r="G55">
        <v>1000</v>
      </c>
      <c r="H55">
        <v>50</v>
      </c>
      <c r="I55">
        <v>20</v>
      </c>
      <c r="J55">
        <v>0.7</v>
      </c>
      <c r="K55">
        <v>2</v>
      </c>
      <c r="L55" t="s">
        <v>154</v>
      </c>
    </row>
    <row r="56" spans="1:12" x14ac:dyDescent="0.25">
      <c r="A56" t="s">
        <v>80</v>
      </c>
      <c r="B56" t="s">
        <v>81</v>
      </c>
      <c r="C56" t="s">
        <v>12</v>
      </c>
      <c r="D56" s="3">
        <v>29</v>
      </c>
      <c r="E56" t="s">
        <v>107</v>
      </c>
      <c r="F56" t="s">
        <v>52</v>
      </c>
      <c r="G56">
        <v>250</v>
      </c>
      <c r="H56">
        <v>100</v>
      </c>
      <c r="I56">
        <v>30</v>
      </c>
      <c r="J56">
        <v>0.3</v>
      </c>
      <c r="K56">
        <v>2</v>
      </c>
      <c r="L56" t="s">
        <v>155</v>
      </c>
    </row>
    <row r="57" spans="1:12" x14ac:dyDescent="0.25">
      <c r="A57" t="s">
        <v>80</v>
      </c>
      <c r="B57" t="s">
        <v>81</v>
      </c>
      <c r="C57" t="s">
        <v>13</v>
      </c>
      <c r="D57" s="3">
        <v>30</v>
      </c>
      <c r="E57" t="s">
        <v>107</v>
      </c>
      <c r="F57" t="s">
        <v>52</v>
      </c>
      <c r="G57">
        <v>1000</v>
      </c>
      <c r="H57">
        <v>25</v>
      </c>
      <c r="I57">
        <v>30</v>
      </c>
      <c r="J57">
        <v>0.8</v>
      </c>
      <c r="K57">
        <v>2</v>
      </c>
      <c r="L57" t="s">
        <v>156</v>
      </c>
    </row>
    <row r="58" spans="1:12" x14ac:dyDescent="0.25">
      <c r="A58" t="s">
        <v>80</v>
      </c>
      <c r="B58" t="s">
        <v>81</v>
      </c>
      <c r="C58" t="s">
        <v>14</v>
      </c>
      <c r="D58" s="3">
        <v>48</v>
      </c>
      <c r="E58" t="s">
        <v>107</v>
      </c>
      <c r="F58" t="s">
        <v>52</v>
      </c>
      <c r="G58">
        <v>1000</v>
      </c>
      <c r="H58">
        <v>50</v>
      </c>
      <c r="I58">
        <v>30</v>
      </c>
      <c r="J58">
        <v>0.7</v>
      </c>
      <c r="K58">
        <v>3</v>
      </c>
      <c r="L58" t="s">
        <v>157</v>
      </c>
    </row>
    <row r="59" spans="1:12" x14ac:dyDescent="0.25">
      <c r="A59" t="s">
        <v>80</v>
      </c>
      <c r="B59" t="s">
        <v>81</v>
      </c>
      <c r="C59" t="s">
        <v>83</v>
      </c>
      <c r="D59" s="3">
        <v>50</v>
      </c>
      <c r="E59" t="s">
        <v>107</v>
      </c>
      <c r="F59" t="s">
        <v>52</v>
      </c>
      <c r="G59">
        <v>125</v>
      </c>
      <c r="H59">
        <v>40</v>
      </c>
      <c r="I59">
        <v>30</v>
      </c>
      <c r="J59">
        <v>0.8</v>
      </c>
      <c r="K59">
        <v>2</v>
      </c>
      <c r="L59" t="s">
        <v>158</v>
      </c>
    </row>
    <row r="60" spans="1:12" x14ac:dyDescent="0.25">
      <c r="A60" t="s">
        <v>80</v>
      </c>
      <c r="B60" t="s">
        <v>81</v>
      </c>
      <c r="C60" t="s">
        <v>84</v>
      </c>
      <c r="D60" s="3">
        <v>75</v>
      </c>
      <c r="E60" t="s">
        <v>107</v>
      </c>
      <c r="F60" t="s">
        <v>52</v>
      </c>
      <c r="G60">
        <v>400</v>
      </c>
      <c r="H60">
        <v>62</v>
      </c>
      <c r="I60">
        <v>30</v>
      </c>
      <c r="J60">
        <v>0.8</v>
      </c>
      <c r="K60">
        <v>2</v>
      </c>
      <c r="L60" t="s">
        <v>159</v>
      </c>
    </row>
    <row r="61" spans="1:12" x14ac:dyDescent="0.25">
      <c r="A61" t="s">
        <v>80</v>
      </c>
      <c r="B61" t="s">
        <v>81</v>
      </c>
      <c r="C61" t="s">
        <v>82</v>
      </c>
      <c r="D61">
        <v>127</v>
      </c>
      <c r="E61" t="s">
        <v>107</v>
      </c>
      <c r="F61" t="s">
        <v>52</v>
      </c>
      <c r="G61">
        <v>250</v>
      </c>
      <c r="H61">
        <v>200</v>
      </c>
      <c r="I61">
        <v>40</v>
      </c>
      <c r="J61">
        <v>0.7</v>
      </c>
      <c r="K61">
        <v>2</v>
      </c>
      <c r="L61" t="s">
        <v>160</v>
      </c>
    </row>
    <row r="62" spans="1:12" x14ac:dyDescent="0.25">
      <c r="A62" t="s">
        <v>80</v>
      </c>
      <c r="B62" t="s">
        <v>81</v>
      </c>
      <c r="C62" t="s">
        <v>10</v>
      </c>
      <c r="D62" s="3">
        <v>14</v>
      </c>
      <c r="E62" t="s">
        <v>109</v>
      </c>
      <c r="F62" t="s">
        <v>52</v>
      </c>
      <c r="G62">
        <v>2000</v>
      </c>
      <c r="H62">
        <v>25</v>
      </c>
      <c r="I62">
        <v>15</v>
      </c>
      <c r="J62">
        <v>0.9</v>
      </c>
      <c r="K62">
        <v>3</v>
      </c>
      <c r="L62" t="s">
        <v>161</v>
      </c>
    </row>
    <row r="63" spans="1:12" x14ac:dyDescent="0.25">
      <c r="A63" t="s">
        <v>80</v>
      </c>
      <c r="B63" t="s">
        <v>81</v>
      </c>
      <c r="C63" t="s">
        <v>4</v>
      </c>
      <c r="D63" s="3">
        <v>16</v>
      </c>
      <c r="E63" t="s">
        <v>109</v>
      </c>
      <c r="F63" t="s">
        <v>52</v>
      </c>
      <c r="G63">
        <v>150</v>
      </c>
      <c r="H63">
        <v>34</v>
      </c>
      <c r="I63">
        <v>25</v>
      </c>
      <c r="J63">
        <v>0.9</v>
      </c>
      <c r="K63">
        <v>2</v>
      </c>
      <c r="L63" t="s">
        <v>162</v>
      </c>
    </row>
    <row r="64" spans="1:12" x14ac:dyDescent="0.25">
      <c r="A64" t="s">
        <v>80</v>
      </c>
      <c r="B64" t="s">
        <v>81</v>
      </c>
      <c r="C64" t="s">
        <v>15</v>
      </c>
      <c r="D64" s="3">
        <v>20</v>
      </c>
      <c r="E64" t="s">
        <v>109</v>
      </c>
      <c r="F64" t="s">
        <v>52</v>
      </c>
      <c r="G64">
        <v>200</v>
      </c>
      <c r="H64">
        <v>25</v>
      </c>
      <c r="I64">
        <v>15</v>
      </c>
      <c r="J64">
        <v>0.99</v>
      </c>
      <c r="K64">
        <v>2</v>
      </c>
      <c r="L64" t="s">
        <v>163</v>
      </c>
    </row>
    <row r="65" spans="1:12" x14ac:dyDescent="0.25">
      <c r="A65" t="s">
        <v>80</v>
      </c>
      <c r="B65" t="s">
        <v>81</v>
      </c>
      <c r="C65" t="s">
        <v>11</v>
      </c>
      <c r="D65" s="3">
        <v>22</v>
      </c>
      <c r="E65" t="s">
        <v>109</v>
      </c>
      <c r="F65" t="s">
        <v>52</v>
      </c>
      <c r="G65">
        <v>75</v>
      </c>
      <c r="H65">
        <v>66</v>
      </c>
      <c r="I65">
        <v>25</v>
      </c>
      <c r="J65">
        <v>0.8</v>
      </c>
      <c r="K65">
        <v>2</v>
      </c>
      <c r="L65" t="s">
        <v>164</v>
      </c>
    </row>
    <row r="66" spans="1:12" x14ac:dyDescent="0.25">
      <c r="A66" t="s">
        <v>80</v>
      </c>
      <c r="B66" t="s">
        <v>81</v>
      </c>
      <c r="C66" t="s">
        <v>12</v>
      </c>
      <c r="D66" s="3">
        <v>29</v>
      </c>
      <c r="E66" t="s">
        <v>109</v>
      </c>
      <c r="F66" t="s">
        <v>52</v>
      </c>
      <c r="G66">
        <v>200</v>
      </c>
      <c r="H66">
        <v>25</v>
      </c>
      <c r="I66">
        <v>30</v>
      </c>
      <c r="J66">
        <v>0.85</v>
      </c>
      <c r="K66">
        <v>3</v>
      </c>
      <c r="L66" t="s">
        <v>165</v>
      </c>
    </row>
    <row r="67" spans="1:12" x14ac:dyDescent="0.25">
      <c r="A67" t="s">
        <v>80</v>
      </c>
      <c r="B67" t="s">
        <v>81</v>
      </c>
      <c r="C67" t="s">
        <v>13</v>
      </c>
      <c r="D67" s="3">
        <v>30</v>
      </c>
      <c r="E67" t="s">
        <v>109</v>
      </c>
      <c r="F67" t="s">
        <v>52</v>
      </c>
      <c r="G67">
        <v>60</v>
      </c>
      <c r="H67">
        <v>82</v>
      </c>
      <c r="I67">
        <v>35</v>
      </c>
      <c r="J67">
        <v>0.6</v>
      </c>
      <c r="K67">
        <v>3</v>
      </c>
      <c r="L67" t="s">
        <v>166</v>
      </c>
    </row>
    <row r="68" spans="1:12" x14ac:dyDescent="0.25">
      <c r="A68" t="s">
        <v>80</v>
      </c>
      <c r="B68" t="s">
        <v>81</v>
      </c>
      <c r="C68" t="s">
        <v>14</v>
      </c>
      <c r="D68" s="3">
        <v>48</v>
      </c>
      <c r="E68" t="s">
        <v>109</v>
      </c>
      <c r="F68" t="s">
        <v>52</v>
      </c>
      <c r="G68">
        <v>1000</v>
      </c>
      <c r="H68">
        <v>50</v>
      </c>
      <c r="I68">
        <v>30</v>
      </c>
      <c r="J68">
        <v>0.8</v>
      </c>
      <c r="K68">
        <v>3</v>
      </c>
      <c r="L68" t="s">
        <v>167</v>
      </c>
    </row>
    <row r="69" spans="1:12" x14ac:dyDescent="0.25">
      <c r="A69" t="s">
        <v>80</v>
      </c>
      <c r="B69" t="s">
        <v>81</v>
      </c>
      <c r="C69" t="s">
        <v>83</v>
      </c>
      <c r="D69" s="3">
        <v>50</v>
      </c>
      <c r="E69" t="s">
        <v>109</v>
      </c>
      <c r="F69" t="s">
        <v>52</v>
      </c>
      <c r="G69">
        <v>500</v>
      </c>
      <c r="H69">
        <v>100</v>
      </c>
      <c r="I69">
        <v>30</v>
      </c>
      <c r="J69">
        <v>0.9</v>
      </c>
      <c r="K69">
        <v>3</v>
      </c>
      <c r="L69" t="s">
        <v>168</v>
      </c>
    </row>
    <row r="70" spans="1:12" x14ac:dyDescent="0.25">
      <c r="A70" t="s">
        <v>80</v>
      </c>
      <c r="B70" t="s">
        <v>81</v>
      </c>
      <c r="C70" t="s">
        <v>84</v>
      </c>
      <c r="D70" s="3">
        <v>75</v>
      </c>
      <c r="E70" t="s">
        <v>109</v>
      </c>
      <c r="F70" t="s">
        <v>52</v>
      </c>
      <c r="G70">
        <v>500</v>
      </c>
      <c r="H70">
        <v>100</v>
      </c>
      <c r="I70">
        <v>30</v>
      </c>
      <c r="J70">
        <v>0.9</v>
      </c>
      <c r="K70">
        <v>3</v>
      </c>
      <c r="L70" t="s">
        <v>169</v>
      </c>
    </row>
    <row r="71" spans="1:12" x14ac:dyDescent="0.25">
      <c r="A71" t="s">
        <v>80</v>
      </c>
      <c r="B71" t="s">
        <v>81</v>
      </c>
      <c r="C71" t="s">
        <v>82</v>
      </c>
      <c r="D71">
        <v>127</v>
      </c>
      <c r="E71" t="s">
        <v>109</v>
      </c>
      <c r="F71" t="s">
        <v>52</v>
      </c>
      <c r="G71">
        <v>1000</v>
      </c>
      <c r="H71">
        <v>25</v>
      </c>
      <c r="I71">
        <v>25</v>
      </c>
      <c r="J71">
        <v>0.9</v>
      </c>
      <c r="K71">
        <v>3</v>
      </c>
      <c r="L71" t="s">
        <v>170</v>
      </c>
    </row>
    <row r="72" spans="1:12" x14ac:dyDescent="0.25">
      <c r="A72" t="s">
        <v>80</v>
      </c>
      <c r="B72" t="s">
        <v>81</v>
      </c>
      <c r="C72" t="s">
        <v>10</v>
      </c>
      <c r="D72" s="3">
        <v>14</v>
      </c>
      <c r="E72" t="s">
        <v>8</v>
      </c>
      <c r="F72" t="s">
        <v>52</v>
      </c>
      <c r="G72">
        <v>200</v>
      </c>
      <c r="H72">
        <v>10</v>
      </c>
      <c r="I72">
        <v>5</v>
      </c>
      <c r="J72">
        <v>0.9</v>
      </c>
      <c r="K72">
        <v>3</v>
      </c>
      <c r="L72" t="s">
        <v>171</v>
      </c>
    </row>
    <row r="73" spans="1:12" x14ac:dyDescent="0.25">
      <c r="A73" t="s">
        <v>80</v>
      </c>
      <c r="B73" t="s">
        <v>81</v>
      </c>
      <c r="C73" t="s">
        <v>4</v>
      </c>
      <c r="D73" s="3">
        <v>16</v>
      </c>
      <c r="E73" t="s">
        <v>8</v>
      </c>
      <c r="F73" t="s">
        <v>52</v>
      </c>
      <c r="G73">
        <v>50</v>
      </c>
      <c r="H73">
        <v>40</v>
      </c>
      <c r="I73">
        <v>15</v>
      </c>
      <c r="J73">
        <v>0.9</v>
      </c>
      <c r="K73">
        <v>3</v>
      </c>
      <c r="L73" t="s">
        <v>172</v>
      </c>
    </row>
    <row r="74" spans="1:12" x14ac:dyDescent="0.25">
      <c r="A74" t="s">
        <v>80</v>
      </c>
      <c r="B74" t="s">
        <v>81</v>
      </c>
      <c r="C74" t="s">
        <v>15</v>
      </c>
      <c r="D74" s="3">
        <v>20</v>
      </c>
      <c r="E74" t="s">
        <v>8</v>
      </c>
      <c r="F74" t="s">
        <v>52</v>
      </c>
      <c r="G74">
        <v>50</v>
      </c>
      <c r="H74">
        <v>50</v>
      </c>
      <c r="I74">
        <v>20</v>
      </c>
      <c r="J74">
        <v>0.9</v>
      </c>
      <c r="K74">
        <v>3</v>
      </c>
      <c r="L74" t="s">
        <v>173</v>
      </c>
    </row>
    <row r="75" spans="1:12" x14ac:dyDescent="0.25">
      <c r="A75" t="s">
        <v>80</v>
      </c>
      <c r="B75" t="s">
        <v>81</v>
      </c>
      <c r="C75" t="s">
        <v>11</v>
      </c>
      <c r="D75" s="3">
        <v>22</v>
      </c>
      <c r="E75" t="s">
        <v>8</v>
      </c>
      <c r="F75" t="s">
        <v>52</v>
      </c>
      <c r="G75">
        <v>150</v>
      </c>
      <c r="H75">
        <v>20</v>
      </c>
      <c r="I75">
        <v>5</v>
      </c>
      <c r="J75">
        <v>0.9</v>
      </c>
      <c r="K75">
        <v>3</v>
      </c>
      <c r="L75" t="s">
        <v>174</v>
      </c>
    </row>
    <row r="76" spans="1:12" x14ac:dyDescent="0.25">
      <c r="A76" t="s">
        <v>80</v>
      </c>
      <c r="B76" t="s">
        <v>81</v>
      </c>
      <c r="C76" t="s">
        <v>12</v>
      </c>
      <c r="D76" s="3">
        <v>29</v>
      </c>
      <c r="E76" t="s">
        <v>8</v>
      </c>
      <c r="F76" t="s">
        <v>52</v>
      </c>
      <c r="G76">
        <v>150</v>
      </c>
      <c r="H76">
        <v>20</v>
      </c>
      <c r="I76">
        <v>10</v>
      </c>
      <c r="J76">
        <v>0.9</v>
      </c>
      <c r="K76">
        <v>3</v>
      </c>
      <c r="L76" t="s">
        <v>175</v>
      </c>
    </row>
    <row r="77" spans="1:12" x14ac:dyDescent="0.25">
      <c r="A77" t="s">
        <v>80</v>
      </c>
      <c r="B77" t="s">
        <v>81</v>
      </c>
      <c r="C77" t="s">
        <v>13</v>
      </c>
      <c r="D77" s="3">
        <v>30</v>
      </c>
      <c r="E77" t="s">
        <v>8</v>
      </c>
      <c r="F77" t="s">
        <v>52</v>
      </c>
      <c r="G77">
        <v>150</v>
      </c>
      <c r="H77">
        <v>20</v>
      </c>
      <c r="I77">
        <v>10</v>
      </c>
      <c r="J77">
        <v>0.7</v>
      </c>
      <c r="K77">
        <v>3</v>
      </c>
      <c r="L77" t="s">
        <v>176</v>
      </c>
    </row>
    <row r="78" spans="1:12" x14ac:dyDescent="0.25">
      <c r="A78" t="s">
        <v>80</v>
      </c>
      <c r="B78" t="s">
        <v>81</v>
      </c>
      <c r="C78" t="s">
        <v>14</v>
      </c>
      <c r="D78" s="3">
        <v>48</v>
      </c>
      <c r="E78" t="s">
        <v>8</v>
      </c>
      <c r="F78" t="s">
        <v>52</v>
      </c>
      <c r="G78">
        <v>150</v>
      </c>
      <c r="H78">
        <v>33</v>
      </c>
      <c r="I78">
        <v>15</v>
      </c>
      <c r="J78">
        <v>0.8</v>
      </c>
      <c r="K78">
        <v>3</v>
      </c>
      <c r="L78" t="s">
        <v>177</v>
      </c>
    </row>
    <row r="79" spans="1:12" x14ac:dyDescent="0.25">
      <c r="A79" t="s">
        <v>80</v>
      </c>
      <c r="B79" t="s">
        <v>81</v>
      </c>
      <c r="C79" t="s">
        <v>83</v>
      </c>
      <c r="D79" s="3">
        <v>50</v>
      </c>
      <c r="E79" t="s">
        <v>8</v>
      </c>
      <c r="F79" t="s">
        <v>52</v>
      </c>
      <c r="G79">
        <v>100</v>
      </c>
      <c r="H79">
        <v>60</v>
      </c>
      <c r="I79">
        <v>30</v>
      </c>
      <c r="J79">
        <v>0.9</v>
      </c>
      <c r="K79">
        <v>3</v>
      </c>
      <c r="L79" t="s">
        <v>178</v>
      </c>
    </row>
    <row r="80" spans="1:12" x14ac:dyDescent="0.25">
      <c r="A80" t="s">
        <v>80</v>
      </c>
      <c r="B80" t="s">
        <v>81</v>
      </c>
      <c r="C80" t="s">
        <v>84</v>
      </c>
      <c r="D80" s="3">
        <v>75</v>
      </c>
      <c r="E80" t="s">
        <v>8</v>
      </c>
      <c r="F80" t="s">
        <v>52</v>
      </c>
      <c r="G80">
        <v>500</v>
      </c>
      <c r="H80">
        <v>100</v>
      </c>
      <c r="I80">
        <v>14</v>
      </c>
      <c r="J80">
        <v>0.7</v>
      </c>
      <c r="K80">
        <v>3</v>
      </c>
      <c r="L80" t="s">
        <v>179</v>
      </c>
    </row>
    <row r="81" spans="1:12" x14ac:dyDescent="0.25">
      <c r="A81" t="s">
        <v>80</v>
      </c>
      <c r="B81" t="s">
        <v>81</v>
      </c>
      <c r="C81" t="s">
        <v>82</v>
      </c>
      <c r="D81">
        <v>127</v>
      </c>
      <c r="E81" t="s">
        <v>8</v>
      </c>
      <c r="F81" t="s">
        <v>52</v>
      </c>
      <c r="G81">
        <v>500</v>
      </c>
      <c r="H81">
        <v>10</v>
      </c>
      <c r="I81">
        <v>10</v>
      </c>
      <c r="J81">
        <v>0.7</v>
      </c>
      <c r="K81">
        <v>3</v>
      </c>
      <c r="L81" t="s">
        <v>180</v>
      </c>
    </row>
    <row r="82" spans="1:12" x14ac:dyDescent="0.25">
      <c r="A82" t="s">
        <v>80</v>
      </c>
      <c r="B82" t="s">
        <v>81</v>
      </c>
      <c r="C82" t="s">
        <v>10</v>
      </c>
      <c r="D82" s="3">
        <v>14</v>
      </c>
      <c r="E82" t="s">
        <v>110</v>
      </c>
      <c r="F82" t="s">
        <v>52</v>
      </c>
      <c r="G82">
        <v>250</v>
      </c>
      <c r="H82">
        <v>100</v>
      </c>
      <c r="I82">
        <v>20</v>
      </c>
      <c r="J82">
        <v>0.7</v>
      </c>
      <c r="K82">
        <v>1</v>
      </c>
      <c r="L82" t="s">
        <v>181</v>
      </c>
    </row>
    <row r="83" spans="1:12" x14ac:dyDescent="0.25">
      <c r="A83" t="s">
        <v>80</v>
      </c>
      <c r="B83" t="s">
        <v>81</v>
      </c>
      <c r="C83" t="s">
        <v>4</v>
      </c>
      <c r="D83" s="3">
        <v>16</v>
      </c>
      <c r="E83" t="s">
        <v>110</v>
      </c>
      <c r="F83" t="s">
        <v>52</v>
      </c>
      <c r="G83">
        <v>250</v>
      </c>
      <c r="H83">
        <v>200</v>
      </c>
      <c r="I83">
        <v>22</v>
      </c>
      <c r="J83">
        <v>0.7</v>
      </c>
      <c r="K83">
        <v>2</v>
      </c>
      <c r="L83" t="s">
        <v>182</v>
      </c>
    </row>
    <row r="84" spans="1:12" x14ac:dyDescent="0.25">
      <c r="A84" t="s">
        <v>80</v>
      </c>
      <c r="B84" t="s">
        <v>81</v>
      </c>
      <c r="C84" t="s">
        <v>15</v>
      </c>
      <c r="D84" s="3">
        <v>20</v>
      </c>
      <c r="E84" t="s">
        <v>110</v>
      </c>
      <c r="F84" t="s">
        <v>52</v>
      </c>
      <c r="G84">
        <v>2000</v>
      </c>
      <c r="H84">
        <v>25</v>
      </c>
      <c r="I84">
        <v>29</v>
      </c>
      <c r="J84">
        <v>0.7</v>
      </c>
      <c r="K84">
        <v>2</v>
      </c>
      <c r="L84" t="s">
        <v>183</v>
      </c>
    </row>
    <row r="85" spans="1:12" x14ac:dyDescent="0.25">
      <c r="A85" t="s">
        <v>80</v>
      </c>
      <c r="B85" t="s">
        <v>81</v>
      </c>
      <c r="C85" t="s">
        <v>11</v>
      </c>
      <c r="D85" s="3">
        <v>22</v>
      </c>
      <c r="E85" t="s">
        <v>110</v>
      </c>
      <c r="F85" t="s">
        <v>52</v>
      </c>
      <c r="G85">
        <v>50</v>
      </c>
      <c r="H85">
        <v>60</v>
      </c>
      <c r="I85">
        <v>10</v>
      </c>
      <c r="J85">
        <v>0.6</v>
      </c>
      <c r="K85">
        <v>3</v>
      </c>
      <c r="L85" t="s">
        <v>184</v>
      </c>
    </row>
    <row r="86" spans="1:12" x14ac:dyDescent="0.25">
      <c r="A86" t="s">
        <v>80</v>
      </c>
      <c r="B86" t="s">
        <v>81</v>
      </c>
      <c r="C86" t="s">
        <v>12</v>
      </c>
      <c r="D86" s="3">
        <v>29</v>
      </c>
      <c r="E86" t="s">
        <v>110</v>
      </c>
      <c r="F86" t="s">
        <v>52</v>
      </c>
      <c r="G86">
        <v>2000</v>
      </c>
      <c r="H86">
        <v>50</v>
      </c>
      <c r="I86">
        <v>4</v>
      </c>
      <c r="J86">
        <v>0.6</v>
      </c>
      <c r="K86">
        <v>2</v>
      </c>
      <c r="L86" t="s">
        <v>185</v>
      </c>
    </row>
    <row r="87" spans="1:12" x14ac:dyDescent="0.25">
      <c r="A87" t="s">
        <v>80</v>
      </c>
      <c r="B87" t="s">
        <v>81</v>
      </c>
      <c r="C87" t="s">
        <v>13</v>
      </c>
      <c r="D87" s="3">
        <v>30</v>
      </c>
      <c r="E87" t="s">
        <v>110</v>
      </c>
      <c r="F87" t="s">
        <v>52</v>
      </c>
      <c r="G87">
        <v>250</v>
      </c>
      <c r="H87">
        <v>100</v>
      </c>
      <c r="I87">
        <v>15</v>
      </c>
      <c r="J87">
        <v>0.75</v>
      </c>
      <c r="K87">
        <v>2</v>
      </c>
      <c r="L87" t="s">
        <v>186</v>
      </c>
    </row>
    <row r="88" spans="1:12" x14ac:dyDescent="0.25">
      <c r="A88" t="s">
        <v>80</v>
      </c>
      <c r="B88" t="s">
        <v>81</v>
      </c>
      <c r="C88" t="s">
        <v>14</v>
      </c>
      <c r="D88" s="3">
        <v>48</v>
      </c>
      <c r="E88" t="s">
        <v>110</v>
      </c>
      <c r="F88" t="s">
        <v>52</v>
      </c>
      <c r="G88">
        <v>500</v>
      </c>
      <c r="H88">
        <v>200</v>
      </c>
      <c r="I88">
        <v>20</v>
      </c>
      <c r="J88">
        <v>0.6</v>
      </c>
      <c r="K88">
        <v>3</v>
      </c>
      <c r="L88" t="s">
        <v>187</v>
      </c>
    </row>
    <row r="89" spans="1:12" x14ac:dyDescent="0.25">
      <c r="A89" t="s">
        <v>80</v>
      </c>
      <c r="B89" t="s">
        <v>81</v>
      </c>
      <c r="C89" t="s">
        <v>83</v>
      </c>
      <c r="D89" s="3">
        <v>50</v>
      </c>
      <c r="E89" t="s">
        <v>110</v>
      </c>
      <c r="F89" t="s">
        <v>52</v>
      </c>
      <c r="G89">
        <v>250</v>
      </c>
      <c r="H89">
        <v>100</v>
      </c>
      <c r="I89">
        <v>15</v>
      </c>
      <c r="J89">
        <v>0.7</v>
      </c>
      <c r="K89">
        <v>1</v>
      </c>
      <c r="L89" t="s">
        <v>188</v>
      </c>
    </row>
    <row r="90" spans="1:12" x14ac:dyDescent="0.25">
      <c r="A90" t="s">
        <v>80</v>
      </c>
      <c r="B90" t="s">
        <v>81</v>
      </c>
      <c r="C90" t="s">
        <v>84</v>
      </c>
      <c r="D90" s="3">
        <v>75</v>
      </c>
      <c r="E90" t="s">
        <v>110</v>
      </c>
      <c r="F90" t="s">
        <v>52</v>
      </c>
      <c r="G90">
        <v>2000</v>
      </c>
      <c r="H90">
        <v>50</v>
      </c>
      <c r="I90">
        <v>15</v>
      </c>
      <c r="J90">
        <v>0.9</v>
      </c>
      <c r="K90">
        <v>3</v>
      </c>
      <c r="L90" t="s">
        <v>189</v>
      </c>
    </row>
    <row r="91" spans="1:12" x14ac:dyDescent="0.25">
      <c r="A91" t="s">
        <v>80</v>
      </c>
      <c r="B91" t="s">
        <v>81</v>
      </c>
      <c r="C91" t="s">
        <v>82</v>
      </c>
      <c r="D91" s="3">
        <v>127</v>
      </c>
      <c r="E91" t="s">
        <v>110</v>
      </c>
      <c r="F91" t="s">
        <v>52</v>
      </c>
      <c r="G91">
        <v>416</v>
      </c>
      <c r="H91">
        <v>60</v>
      </c>
      <c r="I91">
        <v>25</v>
      </c>
      <c r="J91">
        <v>0.7</v>
      </c>
      <c r="K91">
        <v>3</v>
      </c>
      <c r="L91" t="s">
        <v>190</v>
      </c>
    </row>
    <row r="92" spans="1:12" x14ac:dyDescent="0.25">
      <c r="D92" s="3"/>
    </row>
    <row r="93" spans="1:12" x14ac:dyDescent="0.25">
      <c r="D93" s="3"/>
    </row>
    <row r="94" spans="1:12" x14ac:dyDescent="0.25">
      <c r="D94" s="3"/>
    </row>
    <row r="95" spans="1:12" x14ac:dyDescent="0.25">
      <c r="D95" s="3"/>
    </row>
    <row r="96" spans="1:12" x14ac:dyDescent="0.25">
      <c r="D96" s="3"/>
    </row>
    <row r="97" spans="4:4" x14ac:dyDescent="0.25">
      <c r="D97" s="3"/>
    </row>
    <row r="98" spans="4:4" x14ac:dyDescent="0.25">
      <c r="D98" s="3"/>
    </row>
    <row r="99" spans="4:4" x14ac:dyDescent="0.25">
      <c r="D99" s="3"/>
    </row>
    <row r="100" spans="4:4" x14ac:dyDescent="0.25">
      <c r="D100" s="3"/>
    </row>
    <row r="102" spans="4:4" x14ac:dyDescent="0.25">
      <c r="D102" s="3"/>
    </row>
    <row r="103" spans="4:4" x14ac:dyDescent="0.25">
      <c r="D103" s="3"/>
    </row>
    <row r="104" spans="4:4" x14ac:dyDescent="0.25">
      <c r="D104" s="3"/>
    </row>
    <row r="105" spans="4:4" x14ac:dyDescent="0.25">
      <c r="D105" s="3"/>
    </row>
    <row r="106" spans="4:4" x14ac:dyDescent="0.25">
      <c r="D106" s="3"/>
    </row>
    <row r="107" spans="4:4" x14ac:dyDescent="0.25">
      <c r="D107" s="3"/>
    </row>
    <row r="108" spans="4:4" x14ac:dyDescent="0.25">
      <c r="D108" s="3"/>
    </row>
    <row r="109" spans="4:4" x14ac:dyDescent="0.25">
      <c r="D109" s="3"/>
    </row>
    <row r="110" spans="4:4" x14ac:dyDescent="0.25">
      <c r="D110" s="3"/>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1E2F1-C485-CF45-8FA9-BDF5E610D0BE}">
  <dimension ref="A1:N111"/>
  <sheetViews>
    <sheetView topLeftCell="A32" workbookViewId="0">
      <selection activeCell="F65" sqref="F65"/>
    </sheetView>
  </sheetViews>
  <sheetFormatPr defaultColWidth="11" defaultRowHeight="15.75" x14ac:dyDescent="0.25"/>
  <cols>
    <col min="3" max="3" width="17.125" bestFit="1" customWidth="1"/>
    <col min="4" max="4" width="14.5" bestFit="1" customWidth="1"/>
    <col min="12" max="12" width="18.625" bestFit="1" customWidth="1"/>
    <col min="14" max="14" width="14.5" bestFit="1" customWidth="1"/>
  </cols>
  <sheetData>
    <row r="1" spans="1:14" x14ac:dyDescent="0.25">
      <c r="A1" t="s">
        <v>0</v>
      </c>
      <c r="B1" t="s">
        <v>39</v>
      </c>
      <c r="C1" t="s">
        <v>1</v>
      </c>
      <c r="D1" t="s">
        <v>3</v>
      </c>
      <c r="E1" t="s">
        <v>37</v>
      </c>
      <c r="F1" t="s">
        <v>40</v>
      </c>
      <c r="G1" t="s">
        <v>41</v>
      </c>
      <c r="H1" t="s">
        <v>42</v>
      </c>
      <c r="I1" t="s">
        <v>43</v>
      </c>
      <c r="J1" t="s">
        <v>44</v>
      </c>
      <c r="K1" t="s">
        <v>45</v>
      </c>
      <c r="L1" t="s">
        <v>46</v>
      </c>
      <c r="M1" t="s">
        <v>47</v>
      </c>
      <c r="N1" t="s">
        <v>2</v>
      </c>
    </row>
    <row r="2" spans="1:14" x14ac:dyDescent="0.25">
      <c r="A2" t="s">
        <v>35</v>
      </c>
      <c r="B2" t="s">
        <v>67</v>
      </c>
      <c r="C2" t="s">
        <v>25</v>
      </c>
      <c r="D2" t="s">
        <v>5</v>
      </c>
      <c r="E2" t="s">
        <v>38</v>
      </c>
      <c r="F2">
        <v>5000</v>
      </c>
      <c r="G2">
        <v>100</v>
      </c>
      <c r="H2">
        <v>0.5</v>
      </c>
      <c r="I2">
        <v>0.01</v>
      </c>
      <c r="J2" t="s">
        <v>59</v>
      </c>
      <c r="K2" t="s">
        <v>60</v>
      </c>
      <c r="L2" s="1" t="s">
        <v>61</v>
      </c>
      <c r="M2" t="s">
        <v>51</v>
      </c>
      <c r="N2" t="s">
        <v>53</v>
      </c>
    </row>
    <row r="3" spans="1:14" x14ac:dyDescent="0.25">
      <c r="A3" t="s">
        <v>35</v>
      </c>
      <c r="B3" t="s">
        <v>67</v>
      </c>
      <c r="C3" t="s">
        <v>26</v>
      </c>
      <c r="D3" t="s">
        <v>5</v>
      </c>
      <c r="E3" t="s">
        <v>38</v>
      </c>
      <c r="F3">
        <v>10000</v>
      </c>
      <c r="G3">
        <v>200</v>
      </c>
      <c r="H3">
        <v>0.7</v>
      </c>
      <c r="I3">
        <v>0.02</v>
      </c>
      <c r="J3" t="s">
        <v>59</v>
      </c>
      <c r="K3" t="s">
        <v>60</v>
      </c>
      <c r="L3" s="1" t="s">
        <v>61</v>
      </c>
      <c r="M3" t="s">
        <v>51</v>
      </c>
      <c r="N3" t="s">
        <v>53</v>
      </c>
    </row>
    <row r="4" spans="1:14" x14ac:dyDescent="0.25">
      <c r="A4" t="s">
        <v>35</v>
      </c>
      <c r="B4" t="s">
        <v>67</v>
      </c>
      <c r="C4" t="s">
        <v>27</v>
      </c>
      <c r="D4" t="s">
        <v>5</v>
      </c>
      <c r="E4" t="s">
        <v>38</v>
      </c>
      <c r="F4">
        <v>5000</v>
      </c>
      <c r="G4">
        <v>50</v>
      </c>
      <c r="H4">
        <v>0.6</v>
      </c>
      <c r="I4">
        <v>0.01</v>
      </c>
      <c r="J4" t="s">
        <v>59</v>
      </c>
      <c r="K4" t="s">
        <v>60</v>
      </c>
      <c r="L4" s="1" t="s">
        <v>61</v>
      </c>
      <c r="M4" t="s">
        <v>51</v>
      </c>
      <c r="N4" t="s">
        <v>53</v>
      </c>
    </row>
    <row r="5" spans="1:14" x14ac:dyDescent="0.25">
      <c r="A5" t="s">
        <v>35</v>
      </c>
      <c r="B5" t="s">
        <v>67</v>
      </c>
      <c r="C5" t="s">
        <v>28</v>
      </c>
      <c r="D5" t="s">
        <v>5</v>
      </c>
      <c r="E5" t="s">
        <v>38</v>
      </c>
      <c r="F5">
        <v>5000</v>
      </c>
      <c r="G5">
        <v>50</v>
      </c>
      <c r="H5">
        <v>0.6</v>
      </c>
      <c r="I5">
        <v>0.01</v>
      </c>
      <c r="J5" t="s">
        <v>59</v>
      </c>
      <c r="K5" t="s">
        <v>60</v>
      </c>
      <c r="L5" s="1" t="s">
        <v>61</v>
      </c>
      <c r="M5" t="s">
        <v>51</v>
      </c>
      <c r="N5" t="s">
        <v>53</v>
      </c>
    </row>
    <row r="6" spans="1:14" x14ac:dyDescent="0.25">
      <c r="A6" t="s">
        <v>35</v>
      </c>
      <c r="B6" t="s">
        <v>67</v>
      </c>
      <c r="C6" t="s">
        <v>29</v>
      </c>
      <c r="D6" t="s">
        <v>5</v>
      </c>
      <c r="E6" t="s">
        <v>38</v>
      </c>
      <c r="F6">
        <v>10000</v>
      </c>
      <c r="G6">
        <v>100</v>
      </c>
      <c r="H6">
        <v>0.4</v>
      </c>
      <c r="I6">
        <v>0.02</v>
      </c>
      <c r="J6" t="s">
        <v>59</v>
      </c>
      <c r="K6" t="s">
        <v>60</v>
      </c>
      <c r="L6" s="1" t="s">
        <v>61</v>
      </c>
      <c r="M6" t="s">
        <v>51</v>
      </c>
      <c r="N6" t="s">
        <v>53</v>
      </c>
    </row>
    <row r="7" spans="1:14" x14ac:dyDescent="0.25">
      <c r="A7" t="s">
        <v>35</v>
      </c>
      <c r="B7" t="s">
        <v>67</v>
      </c>
      <c r="C7" t="s">
        <v>30</v>
      </c>
      <c r="D7" t="s">
        <v>5</v>
      </c>
      <c r="E7" t="s">
        <v>38</v>
      </c>
      <c r="F7">
        <v>5000</v>
      </c>
      <c r="G7">
        <v>100</v>
      </c>
      <c r="H7">
        <v>0.5</v>
      </c>
      <c r="I7">
        <v>0.01</v>
      </c>
      <c r="J7" t="s">
        <v>59</v>
      </c>
      <c r="K7" t="s">
        <v>60</v>
      </c>
      <c r="L7" s="1" t="s">
        <v>61</v>
      </c>
      <c r="M7" t="s">
        <v>51</v>
      </c>
      <c r="N7" t="s">
        <v>53</v>
      </c>
    </row>
    <row r="8" spans="1:14" x14ac:dyDescent="0.25">
      <c r="A8" t="s">
        <v>35</v>
      </c>
      <c r="B8" t="s">
        <v>67</v>
      </c>
      <c r="C8" t="s">
        <v>31</v>
      </c>
      <c r="D8" t="s">
        <v>5</v>
      </c>
      <c r="E8" t="s">
        <v>38</v>
      </c>
      <c r="F8">
        <v>2000</v>
      </c>
      <c r="G8">
        <v>50</v>
      </c>
      <c r="H8">
        <v>0.5</v>
      </c>
      <c r="I8">
        <v>0.03</v>
      </c>
      <c r="J8" t="s">
        <v>59</v>
      </c>
      <c r="K8" t="s">
        <v>60</v>
      </c>
      <c r="L8" s="1" t="s">
        <v>61</v>
      </c>
      <c r="M8" t="s">
        <v>51</v>
      </c>
      <c r="N8" t="s">
        <v>53</v>
      </c>
    </row>
    <row r="9" spans="1:14" x14ac:dyDescent="0.25">
      <c r="A9" t="s">
        <v>35</v>
      </c>
      <c r="B9" t="s">
        <v>67</v>
      </c>
      <c r="C9" t="s">
        <v>32</v>
      </c>
      <c r="D9" t="s">
        <v>5</v>
      </c>
      <c r="E9" t="s">
        <v>38</v>
      </c>
      <c r="F9">
        <v>5000</v>
      </c>
      <c r="G9">
        <v>150</v>
      </c>
      <c r="H9">
        <v>0.3</v>
      </c>
      <c r="I9">
        <v>0.05</v>
      </c>
      <c r="J9" t="s">
        <v>59</v>
      </c>
      <c r="K9" t="s">
        <v>60</v>
      </c>
      <c r="L9" s="1" t="s">
        <v>61</v>
      </c>
      <c r="M9" t="s">
        <v>51</v>
      </c>
      <c r="N9" t="s">
        <v>53</v>
      </c>
    </row>
    <row r="10" spans="1:14" x14ac:dyDescent="0.25">
      <c r="A10" t="s">
        <v>35</v>
      </c>
      <c r="B10" t="s">
        <v>67</v>
      </c>
      <c r="C10" s="1" t="s">
        <v>33</v>
      </c>
      <c r="D10" t="s">
        <v>5</v>
      </c>
      <c r="E10" t="s">
        <v>38</v>
      </c>
      <c r="F10">
        <v>1000</v>
      </c>
      <c r="G10">
        <v>20</v>
      </c>
      <c r="H10">
        <v>0.4</v>
      </c>
      <c r="I10">
        <v>0.02</v>
      </c>
      <c r="J10" t="s">
        <v>59</v>
      </c>
      <c r="K10" t="s">
        <v>60</v>
      </c>
      <c r="L10" s="1" t="s">
        <v>61</v>
      </c>
      <c r="M10" t="s">
        <v>51</v>
      </c>
      <c r="N10" t="s">
        <v>53</v>
      </c>
    </row>
    <row r="11" spans="1:14" x14ac:dyDescent="0.25">
      <c r="A11" t="s">
        <v>35</v>
      </c>
      <c r="B11" t="s">
        <v>67</v>
      </c>
      <c r="C11" t="s">
        <v>34</v>
      </c>
      <c r="D11" t="s">
        <v>5</v>
      </c>
      <c r="E11" t="s">
        <v>38</v>
      </c>
      <c r="F11">
        <v>10000</v>
      </c>
      <c r="G11">
        <v>200</v>
      </c>
      <c r="H11">
        <v>0.7</v>
      </c>
      <c r="I11">
        <v>0.02</v>
      </c>
      <c r="J11" t="s">
        <v>59</v>
      </c>
      <c r="K11" t="s">
        <v>60</v>
      </c>
      <c r="L11" s="1" t="s">
        <v>61</v>
      </c>
      <c r="M11" t="s">
        <v>51</v>
      </c>
      <c r="N11" t="s">
        <v>53</v>
      </c>
    </row>
    <row r="12" spans="1:14" x14ac:dyDescent="0.25">
      <c r="A12" t="s">
        <v>35</v>
      </c>
      <c r="B12" t="s">
        <v>67</v>
      </c>
      <c r="C12" t="s">
        <v>25</v>
      </c>
      <c r="D12" t="s">
        <v>6</v>
      </c>
      <c r="E12" t="s">
        <v>38</v>
      </c>
      <c r="F12">
        <v>3000</v>
      </c>
      <c r="G12">
        <v>50</v>
      </c>
      <c r="H12">
        <v>0.8</v>
      </c>
      <c r="I12">
        <v>0.1</v>
      </c>
      <c r="J12" t="s">
        <v>48</v>
      </c>
      <c r="K12" t="s">
        <v>60</v>
      </c>
      <c r="L12" s="1" t="s">
        <v>61</v>
      </c>
      <c r="M12" t="s">
        <v>51</v>
      </c>
      <c r="N12" t="s">
        <v>53</v>
      </c>
    </row>
    <row r="13" spans="1:14" x14ac:dyDescent="0.25">
      <c r="A13" t="s">
        <v>35</v>
      </c>
      <c r="B13" t="s">
        <v>67</v>
      </c>
      <c r="C13" t="s">
        <v>26</v>
      </c>
      <c r="D13" t="s">
        <v>6</v>
      </c>
      <c r="E13" t="s">
        <v>38</v>
      </c>
      <c r="F13">
        <v>5000</v>
      </c>
      <c r="G13">
        <v>100</v>
      </c>
      <c r="H13">
        <v>0.85</v>
      </c>
      <c r="I13">
        <v>0.05</v>
      </c>
      <c r="J13" t="s">
        <v>48</v>
      </c>
      <c r="K13" t="s">
        <v>63</v>
      </c>
      <c r="L13" s="1" t="s">
        <v>50</v>
      </c>
      <c r="M13" t="s">
        <v>51</v>
      </c>
      <c r="N13" t="s">
        <v>53</v>
      </c>
    </row>
    <row r="14" spans="1:14" x14ac:dyDescent="0.25">
      <c r="A14" t="s">
        <v>35</v>
      </c>
      <c r="B14" t="s">
        <v>67</v>
      </c>
      <c r="C14" t="s">
        <v>27</v>
      </c>
      <c r="D14" t="s">
        <v>6</v>
      </c>
      <c r="E14" t="s">
        <v>38</v>
      </c>
      <c r="F14">
        <v>1000</v>
      </c>
      <c r="G14">
        <v>20</v>
      </c>
      <c r="H14">
        <v>0.8</v>
      </c>
      <c r="I14">
        <v>0.1</v>
      </c>
      <c r="J14" t="s">
        <v>48</v>
      </c>
      <c r="K14" t="s">
        <v>60</v>
      </c>
      <c r="L14" s="1" t="s">
        <v>61</v>
      </c>
      <c r="M14" t="s">
        <v>51</v>
      </c>
      <c r="N14" t="s">
        <v>53</v>
      </c>
    </row>
    <row r="15" spans="1:14" x14ac:dyDescent="0.25">
      <c r="A15" t="s">
        <v>35</v>
      </c>
      <c r="B15" t="s">
        <v>67</v>
      </c>
      <c r="C15" t="s">
        <v>28</v>
      </c>
      <c r="D15" t="s">
        <v>6</v>
      </c>
      <c r="E15" t="s">
        <v>38</v>
      </c>
      <c r="F15">
        <v>1000</v>
      </c>
      <c r="G15">
        <v>20</v>
      </c>
      <c r="H15">
        <v>0.8</v>
      </c>
      <c r="I15">
        <v>0.1</v>
      </c>
      <c r="J15" t="s">
        <v>48</v>
      </c>
      <c r="K15" t="s">
        <v>60</v>
      </c>
      <c r="L15" s="1" t="s">
        <v>61</v>
      </c>
      <c r="M15" t="s">
        <v>51</v>
      </c>
      <c r="N15" t="s">
        <v>53</v>
      </c>
    </row>
    <row r="16" spans="1:14" x14ac:dyDescent="0.25">
      <c r="A16" t="s">
        <v>35</v>
      </c>
      <c r="B16" t="s">
        <v>67</v>
      </c>
      <c r="C16" t="s">
        <v>29</v>
      </c>
      <c r="D16" t="s">
        <v>6</v>
      </c>
      <c r="E16" t="s">
        <v>38</v>
      </c>
      <c r="F16">
        <v>5000</v>
      </c>
      <c r="G16">
        <v>100</v>
      </c>
      <c r="H16">
        <v>0.85</v>
      </c>
      <c r="I16">
        <v>0.05</v>
      </c>
      <c r="J16" t="s">
        <v>48</v>
      </c>
      <c r="K16" t="s">
        <v>63</v>
      </c>
      <c r="L16" s="1" t="s">
        <v>50</v>
      </c>
      <c r="M16" t="s">
        <v>51</v>
      </c>
      <c r="N16" t="s">
        <v>53</v>
      </c>
    </row>
    <row r="17" spans="1:14" x14ac:dyDescent="0.25">
      <c r="A17" t="s">
        <v>35</v>
      </c>
      <c r="B17" t="s">
        <v>67</v>
      </c>
      <c r="C17" t="s">
        <v>30</v>
      </c>
      <c r="D17" t="s">
        <v>6</v>
      </c>
      <c r="E17" t="s">
        <v>38</v>
      </c>
      <c r="F17">
        <v>3000</v>
      </c>
      <c r="G17">
        <v>50</v>
      </c>
      <c r="H17">
        <v>0.8</v>
      </c>
      <c r="I17">
        <v>0.1</v>
      </c>
      <c r="J17" t="s">
        <v>48</v>
      </c>
      <c r="K17" t="s">
        <v>60</v>
      </c>
      <c r="L17" s="1" t="s">
        <v>61</v>
      </c>
      <c r="M17" t="s">
        <v>51</v>
      </c>
      <c r="N17" t="s">
        <v>53</v>
      </c>
    </row>
    <row r="18" spans="1:14" x14ac:dyDescent="0.25">
      <c r="A18" t="s">
        <v>35</v>
      </c>
      <c r="B18" t="s">
        <v>67</v>
      </c>
      <c r="C18" t="s">
        <v>31</v>
      </c>
      <c r="D18" t="s">
        <v>6</v>
      </c>
      <c r="E18" t="s">
        <v>38</v>
      </c>
      <c r="F18">
        <v>10000</v>
      </c>
      <c r="G18">
        <v>100</v>
      </c>
      <c r="H18">
        <v>0.8</v>
      </c>
      <c r="I18">
        <v>0.1</v>
      </c>
      <c r="J18" t="s">
        <v>59</v>
      </c>
      <c r="K18" t="s">
        <v>60</v>
      </c>
      <c r="L18" s="1" t="s">
        <v>61</v>
      </c>
      <c r="M18" t="s">
        <v>51</v>
      </c>
      <c r="N18" t="s">
        <v>53</v>
      </c>
    </row>
    <row r="19" spans="1:14" x14ac:dyDescent="0.25">
      <c r="A19" t="s">
        <v>35</v>
      </c>
      <c r="B19" t="s">
        <v>67</v>
      </c>
      <c r="C19" t="s">
        <v>32</v>
      </c>
      <c r="D19" t="s">
        <v>6</v>
      </c>
      <c r="E19" t="s">
        <v>38</v>
      </c>
      <c r="F19">
        <v>5000</v>
      </c>
      <c r="G19">
        <v>150</v>
      </c>
      <c r="H19">
        <v>0.9</v>
      </c>
      <c r="I19">
        <v>0.05</v>
      </c>
      <c r="J19" t="s">
        <v>48</v>
      </c>
      <c r="K19" t="s">
        <v>63</v>
      </c>
      <c r="L19" s="1" t="s">
        <v>50</v>
      </c>
      <c r="M19" t="s">
        <v>51</v>
      </c>
      <c r="N19" t="s">
        <v>53</v>
      </c>
    </row>
    <row r="20" spans="1:14" x14ac:dyDescent="0.25">
      <c r="A20" t="s">
        <v>35</v>
      </c>
      <c r="B20" t="s">
        <v>67</v>
      </c>
      <c r="C20" s="1" t="s">
        <v>33</v>
      </c>
      <c r="D20" t="s">
        <v>6</v>
      </c>
      <c r="E20" t="s">
        <v>38</v>
      </c>
      <c r="F20">
        <v>2000</v>
      </c>
      <c r="G20">
        <v>30</v>
      </c>
      <c r="H20">
        <v>0.8</v>
      </c>
      <c r="I20">
        <v>0.1</v>
      </c>
      <c r="J20" t="s">
        <v>48</v>
      </c>
      <c r="K20" t="s">
        <v>60</v>
      </c>
      <c r="L20" s="1" t="s">
        <v>61</v>
      </c>
      <c r="M20" t="s">
        <v>51</v>
      </c>
      <c r="N20" t="s">
        <v>53</v>
      </c>
    </row>
    <row r="21" spans="1:14" x14ac:dyDescent="0.25">
      <c r="A21" t="s">
        <v>35</v>
      </c>
      <c r="B21" t="s">
        <v>67</v>
      </c>
      <c r="C21" t="s">
        <v>34</v>
      </c>
      <c r="D21" t="s">
        <v>6</v>
      </c>
      <c r="E21" t="s">
        <v>38</v>
      </c>
      <c r="F21">
        <v>5000</v>
      </c>
      <c r="G21">
        <v>100</v>
      </c>
      <c r="H21">
        <v>0.85</v>
      </c>
      <c r="I21">
        <v>0.05</v>
      </c>
      <c r="J21" t="s">
        <v>48</v>
      </c>
      <c r="K21" t="s">
        <v>63</v>
      </c>
      <c r="L21" s="1" t="s">
        <v>50</v>
      </c>
      <c r="M21" t="s">
        <v>51</v>
      </c>
      <c r="N21" t="s">
        <v>53</v>
      </c>
    </row>
    <row r="22" spans="1:14" x14ac:dyDescent="0.25">
      <c r="A22" t="s">
        <v>35</v>
      </c>
      <c r="B22" t="s">
        <v>67</v>
      </c>
      <c r="C22" t="s">
        <v>25</v>
      </c>
      <c r="D22" t="s">
        <v>7</v>
      </c>
      <c r="E22" t="s">
        <v>38</v>
      </c>
      <c r="F22">
        <v>500</v>
      </c>
      <c r="G22">
        <v>50</v>
      </c>
      <c r="H22">
        <v>0.8</v>
      </c>
      <c r="I22">
        <v>0.1</v>
      </c>
      <c r="J22" t="s">
        <v>48</v>
      </c>
      <c r="K22" t="s">
        <v>60</v>
      </c>
      <c r="L22" s="1" t="s">
        <v>61</v>
      </c>
      <c r="M22" t="s">
        <v>62</v>
      </c>
      <c r="N22" t="s">
        <v>53</v>
      </c>
    </row>
    <row r="23" spans="1:14" x14ac:dyDescent="0.25">
      <c r="A23" t="s">
        <v>35</v>
      </c>
      <c r="B23" t="s">
        <v>67</v>
      </c>
      <c r="C23" t="s">
        <v>26</v>
      </c>
      <c r="D23" t="s">
        <v>7</v>
      </c>
      <c r="E23" t="s">
        <v>38</v>
      </c>
      <c r="F23">
        <v>1000</v>
      </c>
      <c r="G23">
        <v>100</v>
      </c>
      <c r="H23">
        <v>0.85</v>
      </c>
      <c r="I23">
        <v>0.05</v>
      </c>
      <c r="J23" t="s">
        <v>48</v>
      </c>
      <c r="K23" t="s">
        <v>63</v>
      </c>
      <c r="L23" s="1" t="s">
        <v>50</v>
      </c>
      <c r="M23" t="s">
        <v>51</v>
      </c>
      <c r="N23" t="s">
        <v>53</v>
      </c>
    </row>
    <row r="24" spans="1:14" x14ac:dyDescent="0.25">
      <c r="A24" t="s">
        <v>35</v>
      </c>
      <c r="B24" t="s">
        <v>67</v>
      </c>
      <c r="C24" t="s">
        <v>27</v>
      </c>
      <c r="D24" t="s">
        <v>7</v>
      </c>
      <c r="E24" t="s">
        <v>38</v>
      </c>
      <c r="F24">
        <v>100</v>
      </c>
      <c r="G24">
        <v>10</v>
      </c>
      <c r="H24">
        <v>0.7</v>
      </c>
      <c r="I24">
        <v>0.2</v>
      </c>
      <c r="J24" t="s">
        <v>65</v>
      </c>
      <c r="K24" t="s">
        <v>60</v>
      </c>
      <c r="L24" s="1" t="s">
        <v>61</v>
      </c>
      <c r="M24" t="s">
        <v>62</v>
      </c>
      <c r="N24" t="s">
        <v>53</v>
      </c>
    </row>
    <row r="25" spans="1:14" x14ac:dyDescent="0.25">
      <c r="A25" t="s">
        <v>35</v>
      </c>
      <c r="B25" t="s">
        <v>67</v>
      </c>
      <c r="C25" t="s">
        <v>28</v>
      </c>
      <c r="D25" t="s">
        <v>7</v>
      </c>
      <c r="E25" t="s">
        <v>38</v>
      </c>
      <c r="F25">
        <v>100</v>
      </c>
      <c r="G25">
        <v>10</v>
      </c>
      <c r="H25">
        <v>0.7</v>
      </c>
      <c r="I25">
        <v>0.2</v>
      </c>
      <c r="J25" t="s">
        <v>65</v>
      </c>
      <c r="K25" t="s">
        <v>60</v>
      </c>
      <c r="L25" s="1" t="s">
        <v>61</v>
      </c>
      <c r="M25" t="s">
        <v>62</v>
      </c>
      <c r="N25" t="s">
        <v>53</v>
      </c>
    </row>
    <row r="26" spans="1:14" x14ac:dyDescent="0.25">
      <c r="A26" t="s">
        <v>35</v>
      </c>
      <c r="B26" t="s">
        <v>67</v>
      </c>
      <c r="C26" t="s">
        <v>29</v>
      </c>
      <c r="D26" t="s">
        <v>7</v>
      </c>
      <c r="E26" t="s">
        <v>38</v>
      </c>
      <c r="F26">
        <v>800</v>
      </c>
      <c r="G26">
        <v>60</v>
      </c>
      <c r="H26">
        <v>0.85</v>
      </c>
      <c r="I26">
        <v>0.1</v>
      </c>
      <c r="J26" t="s">
        <v>48</v>
      </c>
      <c r="K26" t="s">
        <v>49</v>
      </c>
      <c r="L26" s="1" t="s">
        <v>61</v>
      </c>
      <c r="M26" t="s">
        <v>64</v>
      </c>
      <c r="N26" t="s">
        <v>53</v>
      </c>
    </row>
    <row r="27" spans="1:14" x14ac:dyDescent="0.25">
      <c r="A27" t="s">
        <v>35</v>
      </c>
      <c r="B27" t="s">
        <v>67</v>
      </c>
      <c r="C27" t="s">
        <v>30</v>
      </c>
      <c r="D27" t="s">
        <v>7</v>
      </c>
      <c r="E27" t="s">
        <v>38</v>
      </c>
      <c r="F27">
        <v>500</v>
      </c>
      <c r="G27">
        <v>50</v>
      </c>
      <c r="H27">
        <v>0.8</v>
      </c>
      <c r="I27">
        <v>0.1</v>
      </c>
      <c r="J27" t="s">
        <v>48</v>
      </c>
      <c r="K27" t="s">
        <v>60</v>
      </c>
      <c r="L27" s="1" t="s">
        <v>61</v>
      </c>
      <c r="M27" t="s">
        <v>62</v>
      </c>
      <c r="N27" t="s">
        <v>53</v>
      </c>
    </row>
    <row r="28" spans="1:14" x14ac:dyDescent="0.25">
      <c r="A28" t="s">
        <v>35</v>
      </c>
      <c r="B28" t="s">
        <v>67</v>
      </c>
      <c r="C28" t="s">
        <v>31</v>
      </c>
      <c r="D28" t="s">
        <v>7</v>
      </c>
      <c r="E28" t="s">
        <v>38</v>
      </c>
      <c r="F28">
        <v>200</v>
      </c>
      <c r="G28">
        <v>30</v>
      </c>
      <c r="H28">
        <v>0.75</v>
      </c>
      <c r="I28">
        <v>0.2</v>
      </c>
      <c r="J28" t="s">
        <v>48</v>
      </c>
      <c r="K28" t="s">
        <v>60</v>
      </c>
      <c r="L28" s="1" t="s">
        <v>61</v>
      </c>
      <c r="M28" t="s">
        <v>51</v>
      </c>
      <c r="N28" t="s">
        <v>53</v>
      </c>
    </row>
    <row r="29" spans="1:14" x14ac:dyDescent="0.25">
      <c r="A29" t="s">
        <v>35</v>
      </c>
      <c r="B29" t="s">
        <v>67</v>
      </c>
      <c r="C29" t="s">
        <v>32</v>
      </c>
      <c r="D29" t="s">
        <v>7</v>
      </c>
      <c r="E29" t="s">
        <v>38</v>
      </c>
      <c r="F29">
        <v>1500</v>
      </c>
      <c r="G29">
        <v>100</v>
      </c>
      <c r="H29">
        <v>0.9</v>
      </c>
      <c r="I29">
        <v>0.08</v>
      </c>
      <c r="J29" t="s">
        <v>48</v>
      </c>
      <c r="K29" t="s">
        <v>66</v>
      </c>
      <c r="L29" s="1" t="s">
        <v>61</v>
      </c>
      <c r="M29" t="s">
        <v>64</v>
      </c>
      <c r="N29" t="s">
        <v>53</v>
      </c>
    </row>
    <row r="30" spans="1:14" x14ac:dyDescent="0.25">
      <c r="A30" t="s">
        <v>35</v>
      </c>
      <c r="B30" t="s">
        <v>67</v>
      </c>
      <c r="C30" s="1" t="s">
        <v>33</v>
      </c>
      <c r="D30" t="s">
        <v>7</v>
      </c>
      <c r="E30" t="s">
        <v>38</v>
      </c>
      <c r="F30">
        <v>200</v>
      </c>
      <c r="G30">
        <v>20</v>
      </c>
      <c r="H30">
        <v>0.7</v>
      </c>
      <c r="I30">
        <v>0.2</v>
      </c>
      <c r="J30" t="s">
        <v>48</v>
      </c>
      <c r="K30" t="s">
        <v>60</v>
      </c>
      <c r="L30" s="1" t="s">
        <v>61</v>
      </c>
      <c r="M30" t="s">
        <v>62</v>
      </c>
      <c r="N30" t="s">
        <v>53</v>
      </c>
    </row>
    <row r="31" spans="1:14" x14ac:dyDescent="0.25">
      <c r="A31" t="s">
        <v>35</v>
      </c>
      <c r="B31" t="s">
        <v>67</v>
      </c>
      <c r="C31" t="s">
        <v>34</v>
      </c>
      <c r="D31" t="s">
        <v>7</v>
      </c>
      <c r="E31" t="s">
        <v>38</v>
      </c>
      <c r="F31">
        <v>1000</v>
      </c>
      <c r="G31">
        <v>100</v>
      </c>
      <c r="H31">
        <v>0.85</v>
      </c>
      <c r="I31">
        <v>0.05</v>
      </c>
      <c r="J31" t="s">
        <v>48</v>
      </c>
      <c r="K31" t="s">
        <v>63</v>
      </c>
      <c r="L31" s="1" t="s">
        <v>50</v>
      </c>
      <c r="M31" t="s">
        <v>51</v>
      </c>
      <c r="N31" t="s">
        <v>53</v>
      </c>
    </row>
    <row r="32" spans="1:14" x14ac:dyDescent="0.25">
      <c r="A32" t="s">
        <v>35</v>
      </c>
      <c r="B32" t="s">
        <v>67</v>
      </c>
      <c r="C32" s="2" t="s">
        <v>25</v>
      </c>
      <c r="D32" t="s">
        <v>8</v>
      </c>
      <c r="E32" t="s">
        <v>38</v>
      </c>
      <c r="F32">
        <v>100</v>
      </c>
      <c r="G32">
        <v>50</v>
      </c>
      <c r="H32">
        <v>0.8</v>
      </c>
      <c r="I32">
        <v>0.1</v>
      </c>
      <c r="J32" t="s">
        <v>48</v>
      </c>
      <c r="K32" t="s">
        <v>60</v>
      </c>
      <c r="L32" s="1" t="s">
        <v>61</v>
      </c>
      <c r="M32" t="s">
        <v>51</v>
      </c>
      <c r="N32" t="s">
        <v>53</v>
      </c>
    </row>
    <row r="33" spans="1:14" x14ac:dyDescent="0.25">
      <c r="A33" t="s">
        <v>35</v>
      </c>
      <c r="B33" t="s">
        <v>67</v>
      </c>
      <c r="C33" s="2" t="s">
        <v>26</v>
      </c>
      <c r="D33" t="s">
        <v>8</v>
      </c>
      <c r="E33" t="s">
        <v>38</v>
      </c>
      <c r="F33">
        <v>200</v>
      </c>
      <c r="G33">
        <v>100</v>
      </c>
      <c r="H33">
        <v>0.7</v>
      </c>
      <c r="I33">
        <v>0.1</v>
      </c>
      <c r="J33" t="s">
        <v>48</v>
      </c>
      <c r="K33" t="s">
        <v>60</v>
      </c>
      <c r="L33" s="1" t="s">
        <v>61</v>
      </c>
      <c r="M33" t="s">
        <v>51</v>
      </c>
      <c r="N33" t="s">
        <v>53</v>
      </c>
    </row>
    <row r="34" spans="1:14" x14ac:dyDescent="0.25">
      <c r="A34" t="s">
        <v>35</v>
      </c>
      <c r="B34" t="s">
        <v>67</v>
      </c>
      <c r="C34" s="2" t="s">
        <v>27</v>
      </c>
      <c r="D34" t="s">
        <v>8</v>
      </c>
      <c r="E34" t="s">
        <v>38</v>
      </c>
      <c r="F34">
        <v>25</v>
      </c>
      <c r="G34">
        <v>20</v>
      </c>
      <c r="H34">
        <v>0.5</v>
      </c>
      <c r="I34">
        <v>0.2</v>
      </c>
      <c r="J34" t="s">
        <v>59</v>
      </c>
      <c r="K34" t="s">
        <v>60</v>
      </c>
      <c r="L34" s="1" t="s">
        <v>61</v>
      </c>
      <c r="M34" t="s">
        <v>51</v>
      </c>
      <c r="N34" t="s">
        <v>53</v>
      </c>
    </row>
    <row r="35" spans="1:14" x14ac:dyDescent="0.25">
      <c r="A35" t="s">
        <v>35</v>
      </c>
      <c r="B35" t="s">
        <v>67</v>
      </c>
      <c r="C35" s="2" t="s">
        <v>28</v>
      </c>
      <c r="D35" t="s">
        <v>8</v>
      </c>
      <c r="E35" t="s">
        <v>38</v>
      </c>
      <c r="F35">
        <v>25</v>
      </c>
      <c r="G35">
        <v>20</v>
      </c>
      <c r="H35">
        <v>0.5</v>
      </c>
      <c r="I35">
        <v>0.2</v>
      </c>
      <c r="J35" t="s">
        <v>59</v>
      </c>
      <c r="K35" t="s">
        <v>60</v>
      </c>
      <c r="L35" s="1" t="s">
        <v>61</v>
      </c>
      <c r="M35" t="s">
        <v>51</v>
      </c>
      <c r="N35" t="s">
        <v>53</v>
      </c>
    </row>
    <row r="36" spans="1:14" x14ac:dyDescent="0.25">
      <c r="A36" t="s">
        <v>35</v>
      </c>
      <c r="B36" t="s">
        <v>67</v>
      </c>
      <c r="C36" s="2" t="s">
        <v>29</v>
      </c>
      <c r="D36" t="s">
        <v>8</v>
      </c>
      <c r="E36" t="s">
        <v>38</v>
      </c>
      <c r="F36">
        <v>150</v>
      </c>
      <c r="G36">
        <v>76</v>
      </c>
      <c r="H36">
        <v>0.75</v>
      </c>
      <c r="I36">
        <v>0.1</v>
      </c>
      <c r="J36" t="s">
        <v>48</v>
      </c>
      <c r="K36" t="s">
        <v>60</v>
      </c>
      <c r="L36" s="1" t="s">
        <v>61</v>
      </c>
      <c r="M36" t="s">
        <v>51</v>
      </c>
      <c r="N36" t="s">
        <v>53</v>
      </c>
    </row>
    <row r="37" spans="1:14" x14ac:dyDescent="0.25">
      <c r="A37" t="s">
        <v>35</v>
      </c>
      <c r="B37" t="s">
        <v>67</v>
      </c>
      <c r="C37" s="2" t="s">
        <v>30</v>
      </c>
      <c r="D37" t="s">
        <v>8</v>
      </c>
      <c r="E37" t="s">
        <v>38</v>
      </c>
      <c r="F37">
        <v>100</v>
      </c>
      <c r="G37">
        <v>50</v>
      </c>
      <c r="H37">
        <v>0.8</v>
      </c>
      <c r="I37">
        <v>0.1</v>
      </c>
      <c r="J37" t="s">
        <v>48</v>
      </c>
      <c r="K37" t="s">
        <v>60</v>
      </c>
      <c r="L37" s="1" t="s">
        <v>61</v>
      </c>
      <c r="M37" t="s">
        <v>51</v>
      </c>
      <c r="N37" t="s">
        <v>53</v>
      </c>
    </row>
    <row r="38" spans="1:14" x14ac:dyDescent="0.25">
      <c r="A38" t="s">
        <v>35</v>
      </c>
      <c r="B38" t="s">
        <v>67</v>
      </c>
      <c r="C38" s="2" t="s">
        <v>31</v>
      </c>
      <c r="D38" t="s">
        <v>8</v>
      </c>
      <c r="E38" t="s">
        <v>38</v>
      </c>
      <c r="F38">
        <v>75</v>
      </c>
      <c r="G38">
        <v>40</v>
      </c>
      <c r="H38">
        <v>0.8</v>
      </c>
      <c r="I38">
        <v>0.1</v>
      </c>
      <c r="J38" t="s">
        <v>48</v>
      </c>
      <c r="K38" t="s">
        <v>60</v>
      </c>
      <c r="L38" s="1" t="s">
        <v>61</v>
      </c>
      <c r="M38" t="s">
        <v>51</v>
      </c>
      <c r="N38" t="s">
        <v>53</v>
      </c>
    </row>
    <row r="39" spans="1:14" x14ac:dyDescent="0.25">
      <c r="A39" t="s">
        <v>35</v>
      </c>
      <c r="B39" t="s">
        <v>67</v>
      </c>
      <c r="C39" s="2" t="s">
        <v>32</v>
      </c>
      <c r="D39" t="s">
        <v>8</v>
      </c>
      <c r="E39" t="s">
        <v>38</v>
      </c>
      <c r="F39">
        <v>300</v>
      </c>
      <c r="G39">
        <v>120</v>
      </c>
      <c r="H39">
        <v>0.65</v>
      </c>
      <c r="I39">
        <v>0.1</v>
      </c>
      <c r="J39" t="s">
        <v>48</v>
      </c>
      <c r="K39" t="s">
        <v>63</v>
      </c>
      <c r="L39" s="1" t="s">
        <v>61</v>
      </c>
      <c r="M39" t="s">
        <v>51</v>
      </c>
      <c r="N39" t="s">
        <v>53</v>
      </c>
    </row>
    <row r="40" spans="1:14" x14ac:dyDescent="0.25">
      <c r="A40" t="s">
        <v>35</v>
      </c>
      <c r="B40" t="s">
        <v>67</v>
      </c>
      <c r="C40" s="2" t="s">
        <v>33</v>
      </c>
      <c r="D40" t="s">
        <v>8</v>
      </c>
      <c r="E40" t="s">
        <v>38</v>
      </c>
      <c r="F40">
        <v>20</v>
      </c>
      <c r="G40">
        <v>16</v>
      </c>
      <c r="H40">
        <v>0.5</v>
      </c>
      <c r="I40">
        <v>0.2</v>
      </c>
      <c r="J40" t="s">
        <v>59</v>
      </c>
      <c r="K40" t="s">
        <v>60</v>
      </c>
      <c r="L40" s="1" t="s">
        <v>61</v>
      </c>
      <c r="M40" t="s">
        <v>51</v>
      </c>
      <c r="N40" t="s">
        <v>53</v>
      </c>
    </row>
    <row r="41" spans="1:14" x14ac:dyDescent="0.25">
      <c r="A41" t="s">
        <v>35</v>
      </c>
      <c r="B41" t="s">
        <v>67</v>
      </c>
      <c r="C41" s="2" t="s">
        <v>34</v>
      </c>
      <c r="D41" t="s">
        <v>8</v>
      </c>
      <c r="E41" t="s">
        <v>38</v>
      </c>
      <c r="F41">
        <v>25</v>
      </c>
      <c r="G41">
        <v>20</v>
      </c>
      <c r="H41">
        <v>0.5</v>
      </c>
      <c r="I41">
        <v>0.2</v>
      </c>
      <c r="J41" t="s">
        <v>59</v>
      </c>
      <c r="K41" t="s">
        <v>60</v>
      </c>
      <c r="L41" s="1" t="s">
        <v>61</v>
      </c>
      <c r="M41" t="s">
        <v>51</v>
      </c>
      <c r="N41" t="s">
        <v>53</v>
      </c>
    </row>
    <row r="42" spans="1:14" x14ac:dyDescent="0.25">
      <c r="A42" t="s">
        <v>35</v>
      </c>
      <c r="B42" t="s">
        <v>67</v>
      </c>
      <c r="C42" s="2" t="s">
        <v>25</v>
      </c>
      <c r="D42" t="s">
        <v>9</v>
      </c>
      <c r="E42" t="s">
        <v>38</v>
      </c>
      <c r="F42">
        <v>1000</v>
      </c>
      <c r="G42">
        <v>100</v>
      </c>
      <c r="H42">
        <v>0.8</v>
      </c>
      <c r="I42">
        <v>0.2</v>
      </c>
      <c r="J42" t="s">
        <v>59</v>
      </c>
      <c r="K42" t="s">
        <v>60</v>
      </c>
      <c r="L42" s="1" t="s">
        <v>61</v>
      </c>
      <c r="M42" t="s">
        <v>51</v>
      </c>
      <c r="N42" t="s">
        <v>53</v>
      </c>
    </row>
    <row r="43" spans="1:14" x14ac:dyDescent="0.25">
      <c r="A43" t="s">
        <v>35</v>
      </c>
      <c r="B43" t="s">
        <v>67</v>
      </c>
      <c r="C43" s="2" t="s">
        <v>26</v>
      </c>
      <c r="D43" t="s">
        <v>9</v>
      </c>
      <c r="E43" t="s">
        <v>38</v>
      </c>
      <c r="F43">
        <v>1500</v>
      </c>
      <c r="G43">
        <v>200</v>
      </c>
      <c r="H43">
        <v>0.8</v>
      </c>
      <c r="I43">
        <v>0.2</v>
      </c>
      <c r="J43" t="s">
        <v>48</v>
      </c>
      <c r="K43" t="s">
        <v>63</v>
      </c>
      <c r="L43" s="1" t="s">
        <v>61</v>
      </c>
      <c r="M43" t="s">
        <v>62</v>
      </c>
      <c r="N43" t="s">
        <v>53</v>
      </c>
    </row>
    <row r="44" spans="1:14" x14ac:dyDescent="0.25">
      <c r="A44" t="s">
        <v>35</v>
      </c>
      <c r="B44" t="s">
        <v>67</v>
      </c>
      <c r="C44" s="2" t="s">
        <v>27</v>
      </c>
      <c r="D44" t="s">
        <v>9</v>
      </c>
      <c r="E44" t="s">
        <v>38</v>
      </c>
      <c r="F44">
        <v>500</v>
      </c>
      <c r="G44">
        <v>50</v>
      </c>
      <c r="H44">
        <v>0.9</v>
      </c>
      <c r="I44">
        <v>0.1</v>
      </c>
      <c r="J44" t="s">
        <v>59</v>
      </c>
      <c r="K44" t="s">
        <v>60</v>
      </c>
      <c r="L44" s="1" t="s">
        <v>61</v>
      </c>
      <c r="M44" t="s">
        <v>51</v>
      </c>
      <c r="N44" t="s">
        <v>53</v>
      </c>
    </row>
    <row r="45" spans="1:14" x14ac:dyDescent="0.25">
      <c r="A45" t="s">
        <v>35</v>
      </c>
      <c r="B45" t="s">
        <v>67</v>
      </c>
      <c r="C45" s="2" t="s">
        <v>28</v>
      </c>
      <c r="D45" t="s">
        <v>9</v>
      </c>
      <c r="E45" t="s">
        <v>38</v>
      </c>
      <c r="F45">
        <v>500</v>
      </c>
      <c r="G45">
        <v>50</v>
      </c>
      <c r="H45">
        <v>0.9</v>
      </c>
      <c r="I45">
        <v>0.1</v>
      </c>
      <c r="J45" t="s">
        <v>59</v>
      </c>
      <c r="K45" t="s">
        <v>60</v>
      </c>
      <c r="L45" s="1" t="s">
        <v>61</v>
      </c>
      <c r="M45" t="s">
        <v>51</v>
      </c>
      <c r="N45" t="s">
        <v>53</v>
      </c>
    </row>
    <row r="46" spans="1:14" x14ac:dyDescent="0.25">
      <c r="A46" t="s">
        <v>35</v>
      </c>
      <c r="B46" t="s">
        <v>67</v>
      </c>
      <c r="C46" s="2" t="s">
        <v>29</v>
      </c>
      <c r="D46" t="s">
        <v>9</v>
      </c>
      <c r="E46" t="s">
        <v>38</v>
      </c>
      <c r="F46">
        <v>1000</v>
      </c>
      <c r="G46">
        <v>150</v>
      </c>
      <c r="H46">
        <v>0.8</v>
      </c>
      <c r="I46">
        <v>0.2</v>
      </c>
      <c r="J46" t="s">
        <v>48</v>
      </c>
      <c r="K46" t="s">
        <v>63</v>
      </c>
      <c r="L46" s="1" t="s">
        <v>61</v>
      </c>
      <c r="M46" t="s">
        <v>62</v>
      </c>
      <c r="N46" t="s">
        <v>53</v>
      </c>
    </row>
    <row r="47" spans="1:14" x14ac:dyDescent="0.25">
      <c r="A47" t="s">
        <v>35</v>
      </c>
      <c r="B47" t="s">
        <v>67</v>
      </c>
      <c r="C47" s="2" t="s">
        <v>30</v>
      </c>
      <c r="D47" t="s">
        <v>9</v>
      </c>
      <c r="E47" t="s">
        <v>38</v>
      </c>
      <c r="F47">
        <v>1000</v>
      </c>
      <c r="G47">
        <v>100</v>
      </c>
      <c r="H47">
        <v>0.8</v>
      </c>
      <c r="I47">
        <v>0.2</v>
      </c>
      <c r="J47" t="s">
        <v>59</v>
      </c>
      <c r="K47" t="s">
        <v>60</v>
      </c>
      <c r="L47" s="1" t="s">
        <v>61</v>
      </c>
      <c r="M47" t="s">
        <v>51</v>
      </c>
      <c r="N47" t="s">
        <v>53</v>
      </c>
    </row>
    <row r="48" spans="1:14" x14ac:dyDescent="0.25">
      <c r="A48" t="s">
        <v>35</v>
      </c>
      <c r="B48" t="s">
        <v>67</v>
      </c>
      <c r="C48" s="2" t="s">
        <v>31</v>
      </c>
      <c r="D48" t="s">
        <v>9</v>
      </c>
      <c r="E48" t="s">
        <v>38</v>
      </c>
      <c r="F48">
        <v>700</v>
      </c>
      <c r="G48">
        <v>70</v>
      </c>
      <c r="H48">
        <v>0.85</v>
      </c>
      <c r="I48">
        <v>0.15</v>
      </c>
      <c r="J48" t="s">
        <v>59</v>
      </c>
      <c r="K48" t="s">
        <v>60</v>
      </c>
      <c r="L48" s="1" t="s">
        <v>61</v>
      </c>
      <c r="M48" t="s">
        <v>51</v>
      </c>
      <c r="N48" t="s">
        <v>53</v>
      </c>
    </row>
    <row r="49" spans="1:14" x14ac:dyDescent="0.25">
      <c r="A49" t="s">
        <v>35</v>
      </c>
      <c r="B49" t="s">
        <v>67</v>
      </c>
      <c r="C49" s="2" t="s">
        <v>32</v>
      </c>
      <c r="D49" t="s">
        <v>9</v>
      </c>
      <c r="E49" t="s">
        <v>38</v>
      </c>
      <c r="F49">
        <v>1500</v>
      </c>
      <c r="G49">
        <v>200</v>
      </c>
      <c r="H49">
        <v>0.8</v>
      </c>
      <c r="I49">
        <v>0.2</v>
      </c>
      <c r="J49" t="s">
        <v>48</v>
      </c>
      <c r="K49" t="s">
        <v>63</v>
      </c>
      <c r="L49" s="1" t="s">
        <v>61</v>
      </c>
      <c r="M49" t="s">
        <v>62</v>
      </c>
      <c r="N49" t="s">
        <v>53</v>
      </c>
    </row>
    <row r="50" spans="1:14" x14ac:dyDescent="0.25">
      <c r="A50" t="s">
        <v>35</v>
      </c>
      <c r="B50" t="s">
        <v>67</v>
      </c>
      <c r="C50" s="2" t="s">
        <v>33</v>
      </c>
      <c r="D50" t="s">
        <v>9</v>
      </c>
      <c r="E50" t="s">
        <v>38</v>
      </c>
      <c r="F50">
        <v>500</v>
      </c>
      <c r="G50">
        <v>50</v>
      </c>
      <c r="H50">
        <v>0.9</v>
      </c>
      <c r="I50">
        <v>0.1</v>
      </c>
      <c r="J50" t="s">
        <v>59</v>
      </c>
      <c r="K50" t="s">
        <v>60</v>
      </c>
      <c r="L50" s="1" t="s">
        <v>61</v>
      </c>
      <c r="M50" t="s">
        <v>51</v>
      </c>
      <c r="N50" t="s">
        <v>53</v>
      </c>
    </row>
    <row r="51" spans="1:14" x14ac:dyDescent="0.25">
      <c r="A51" t="s">
        <v>35</v>
      </c>
      <c r="B51" t="s">
        <v>67</v>
      </c>
      <c r="C51" s="2" t="s">
        <v>34</v>
      </c>
      <c r="D51" t="s">
        <v>9</v>
      </c>
      <c r="E51" t="s">
        <v>38</v>
      </c>
      <c r="F51">
        <v>1500</v>
      </c>
      <c r="G51">
        <v>200</v>
      </c>
      <c r="H51">
        <v>0.8</v>
      </c>
      <c r="I51">
        <v>0.2</v>
      </c>
      <c r="J51" t="s">
        <v>48</v>
      </c>
      <c r="K51" t="s">
        <v>63</v>
      </c>
      <c r="L51" s="1" t="s">
        <v>61</v>
      </c>
      <c r="M51" t="s">
        <v>62</v>
      </c>
      <c r="N51" t="s">
        <v>53</v>
      </c>
    </row>
    <row r="52" spans="1:14" x14ac:dyDescent="0.25">
      <c r="A52" t="s">
        <v>35</v>
      </c>
      <c r="B52" t="s">
        <v>67</v>
      </c>
      <c r="C52" s="2" t="s">
        <v>25</v>
      </c>
      <c r="D52" t="s">
        <v>36</v>
      </c>
      <c r="E52" t="s">
        <v>38</v>
      </c>
      <c r="F52">
        <v>10000</v>
      </c>
      <c r="G52">
        <v>100</v>
      </c>
      <c r="H52">
        <v>0.95</v>
      </c>
      <c r="I52">
        <v>2.5000000000000001E-2</v>
      </c>
      <c r="J52" t="s">
        <v>48</v>
      </c>
      <c r="K52" t="s">
        <v>49</v>
      </c>
      <c r="L52" s="1" t="s">
        <v>50</v>
      </c>
      <c r="M52" t="s">
        <v>51</v>
      </c>
      <c r="N52" t="s">
        <v>53</v>
      </c>
    </row>
    <row r="53" spans="1:14" x14ac:dyDescent="0.25">
      <c r="A53" t="s">
        <v>35</v>
      </c>
      <c r="B53" t="s">
        <v>67</v>
      </c>
      <c r="C53" s="2" t="s">
        <v>26</v>
      </c>
      <c r="D53" t="s">
        <v>36</v>
      </c>
      <c r="E53" t="s">
        <v>38</v>
      </c>
      <c r="F53">
        <v>10000</v>
      </c>
      <c r="G53">
        <v>100</v>
      </c>
      <c r="H53">
        <v>0.95</v>
      </c>
      <c r="I53">
        <v>2.5000000000000001E-2</v>
      </c>
      <c r="J53" t="s">
        <v>48</v>
      </c>
      <c r="K53" t="s">
        <v>49</v>
      </c>
      <c r="L53" s="1" t="s">
        <v>50</v>
      </c>
      <c r="M53" t="s">
        <v>51</v>
      </c>
      <c r="N53" t="s">
        <v>53</v>
      </c>
    </row>
    <row r="54" spans="1:14" x14ac:dyDescent="0.25">
      <c r="A54" t="s">
        <v>35</v>
      </c>
      <c r="B54" t="s">
        <v>67</v>
      </c>
      <c r="C54" s="2" t="s">
        <v>27</v>
      </c>
      <c r="D54" t="s">
        <v>36</v>
      </c>
      <c r="E54" t="s">
        <v>38</v>
      </c>
      <c r="F54">
        <v>10000</v>
      </c>
      <c r="G54">
        <v>100</v>
      </c>
      <c r="H54">
        <v>0.95</v>
      </c>
      <c r="I54">
        <v>2.5000000000000001E-2</v>
      </c>
      <c r="J54" t="s">
        <v>48</v>
      </c>
      <c r="K54" t="s">
        <v>49</v>
      </c>
      <c r="L54" s="1" t="s">
        <v>50</v>
      </c>
      <c r="M54" t="s">
        <v>51</v>
      </c>
      <c r="N54" t="s">
        <v>53</v>
      </c>
    </row>
    <row r="55" spans="1:14" x14ac:dyDescent="0.25">
      <c r="A55" t="s">
        <v>35</v>
      </c>
      <c r="B55" t="s">
        <v>67</v>
      </c>
      <c r="C55" s="2" t="s">
        <v>28</v>
      </c>
      <c r="D55" t="s">
        <v>36</v>
      </c>
      <c r="E55" t="s">
        <v>38</v>
      </c>
      <c r="F55">
        <v>10000</v>
      </c>
      <c r="G55">
        <v>100</v>
      </c>
      <c r="H55">
        <v>0.95</v>
      </c>
      <c r="I55">
        <v>2.5000000000000001E-2</v>
      </c>
      <c r="J55" t="s">
        <v>48</v>
      </c>
      <c r="K55" t="s">
        <v>49</v>
      </c>
      <c r="L55" s="1" t="s">
        <v>50</v>
      </c>
      <c r="M55" t="s">
        <v>51</v>
      </c>
      <c r="N55" t="s">
        <v>53</v>
      </c>
    </row>
    <row r="56" spans="1:14" x14ac:dyDescent="0.25">
      <c r="A56" t="s">
        <v>35</v>
      </c>
      <c r="B56" t="s">
        <v>67</v>
      </c>
      <c r="C56" s="2" t="s">
        <v>29</v>
      </c>
      <c r="D56" t="s">
        <v>36</v>
      </c>
      <c r="E56" t="s">
        <v>38</v>
      </c>
      <c r="F56">
        <v>10000</v>
      </c>
      <c r="G56">
        <v>100</v>
      </c>
      <c r="H56">
        <v>0.95</v>
      </c>
      <c r="I56">
        <v>2.5000000000000001E-2</v>
      </c>
      <c r="J56" t="s">
        <v>48</v>
      </c>
      <c r="K56" t="s">
        <v>49</v>
      </c>
      <c r="L56" s="1" t="s">
        <v>50</v>
      </c>
      <c r="M56" t="s">
        <v>51</v>
      </c>
      <c r="N56" t="s">
        <v>53</v>
      </c>
    </row>
    <row r="57" spans="1:14" x14ac:dyDescent="0.25">
      <c r="A57" t="s">
        <v>35</v>
      </c>
      <c r="B57" t="s">
        <v>67</v>
      </c>
      <c r="C57" s="2" t="s">
        <v>30</v>
      </c>
      <c r="D57" t="s">
        <v>36</v>
      </c>
      <c r="E57" t="s">
        <v>38</v>
      </c>
      <c r="F57">
        <v>10000</v>
      </c>
      <c r="G57">
        <v>100</v>
      </c>
      <c r="H57">
        <v>0.95</v>
      </c>
      <c r="I57">
        <v>2.5000000000000001E-2</v>
      </c>
      <c r="J57" t="s">
        <v>48</v>
      </c>
      <c r="K57" t="s">
        <v>49</v>
      </c>
      <c r="L57" s="1" t="s">
        <v>50</v>
      </c>
      <c r="M57" t="s">
        <v>51</v>
      </c>
      <c r="N57" t="s">
        <v>53</v>
      </c>
    </row>
    <row r="58" spans="1:14" x14ac:dyDescent="0.25">
      <c r="A58" t="s">
        <v>35</v>
      </c>
      <c r="B58" t="s">
        <v>67</v>
      </c>
      <c r="C58" s="2" t="s">
        <v>31</v>
      </c>
      <c r="D58" t="s">
        <v>36</v>
      </c>
      <c r="E58" t="s">
        <v>38</v>
      </c>
      <c r="F58">
        <v>10000</v>
      </c>
      <c r="G58">
        <v>100</v>
      </c>
      <c r="H58">
        <v>0.95</v>
      </c>
      <c r="I58">
        <v>2.5000000000000001E-2</v>
      </c>
      <c r="J58" t="s">
        <v>48</v>
      </c>
      <c r="K58" t="s">
        <v>49</v>
      </c>
      <c r="L58" s="1" t="s">
        <v>50</v>
      </c>
      <c r="M58" t="s">
        <v>51</v>
      </c>
      <c r="N58" t="s">
        <v>53</v>
      </c>
    </row>
    <row r="59" spans="1:14" x14ac:dyDescent="0.25">
      <c r="A59" t="s">
        <v>35</v>
      </c>
      <c r="B59" t="s">
        <v>67</v>
      </c>
      <c r="C59" s="2" t="s">
        <v>32</v>
      </c>
      <c r="D59" t="s">
        <v>36</v>
      </c>
      <c r="E59" t="s">
        <v>38</v>
      </c>
      <c r="F59">
        <v>10000</v>
      </c>
      <c r="G59">
        <v>100</v>
      </c>
      <c r="H59">
        <v>0.95</v>
      </c>
      <c r="I59">
        <v>2.5000000000000001E-2</v>
      </c>
      <c r="J59" t="s">
        <v>48</v>
      </c>
      <c r="K59" t="s">
        <v>49</v>
      </c>
      <c r="L59" s="1" t="s">
        <v>50</v>
      </c>
      <c r="M59" t="s">
        <v>51</v>
      </c>
      <c r="N59" t="s">
        <v>53</v>
      </c>
    </row>
    <row r="60" spans="1:14" x14ac:dyDescent="0.25">
      <c r="A60" t="s">
        <v>35</v>
      </c>
      <c r="B60" t="s">
        <v>67</v>
      </c>
      <c r="C60" s="2" t="s">
        <v>33</v>
      </c>
      <c r="D60" t="s">
        <v>36</v>
      </c>
      <c r="E60" t="s">
        <v>38</v>
      </c>
      <c r="F60">
        <v>10000</v>
      </c>
      <c r="G60">
        <v>100</v>
      </c>
      <c r="H60">
        <v>0.95</v>
      </c>
      <c r="I60">
        <v>2.5000000000000001E-2</v>
      </c>
      <c r="J60" t="s">
        <v>48</v>
      </c>
      <c r="K60" t="s">
        <v>49</v>
      </c>
      <c r="L60" s="1" t="s">
        <v>50</v>
      </c>
      <c r="M60" t="s">
        <v>51</v>
      </c>
      <c r="N60" t="s">
        <v>53</v>
      </c>
    </row>
    <row r="61" spans="1:14" x14ac:dyDescent="0.25">
      <c r="A61" t="s">
        <v>35</v>
      </c>
      <c r="B61" t="s">
        <v>67</v>
      </c>
      <c r="C61" s="2" t="s">
        <v>34</v>
      </c>
      <c r="D61" t="s">
        <v>36</v>
      </c>
      <c r="E61" t="s">
        <v>38</v>
      </c>
      <c r="F61">
        <v>10000</v>
      </c>
      <c r="G61">
        <v>100</v>
      </c>
      <c r="H61">
        <v>0.95</v>
      </c>
      <c r="I61">
        <v>2.5000000000000001E-2</v>
      </c>
      <c r="J61" t="s">
        <v>48</v>
      </c>
      <c r="K61" t="s">
        <v>49</v>
      </c>
      <c r="L61" s="1" t="s">
        <v>50</v>
      </c>
      <c r="M61" t="s">
        <v>51</v>
      </c>
      <c r="N61" t="s">
        <v>53</v>
      </c>
    </row>
    <row r="62" spans="1:14" x14ac:dyDescent="0.25">
      <c r="A62" t="s">
        <v>35</v>
      </c>
      <c r="B62" t="s">
        <v>67</v>
      </c>
      <c r="C62" t="s">
        <v>25</v>
      </c>
      <c r="D62" t="s">
        <v>5</v>
      </c>
      <c r="E62" t="s">
        <v>52</v>
      </c>
      <c r="N62" t="s">
        <v>53</v>
      </c>
    </row>
    <row r="63" spans="1:14" x14ac:dyDescent="0.25">
      <c r="A63" t="s">
        <v>35</v>
      </c>
      <c r="B63" t="s">
        <v>67</v>
      </c>
      <c r="C63" t="s">
        <v>26</v>
      </c>
      <c r="D63" t="s">
        <v>5</v>
      </c>
      <c r="E63" t="s">
        <v>52</v>
      </c>
      <c r="N63" t="s">
        <v>53</v>
      </c>
    </row>
    <row r="64" spans="1:14" x14ac:dyDescent="0.25">
      <c r="A64" t="s">
        <v>35</v>
      </c>
      <c r="B64" t="s">
        <v>67</v>
      </c>
      <c r="C64" t="s">
        <v>27</v>
      </c>
      <c r="D64" t="s">
        <v>5</v>
      </c>
      <c r="E64" t="s">
        <v>52</v>
      </c>
      <c r="N64" t="s">
        <v>53</v>
      </c>
    </row>
    <row r="65" spans="1:14" x14ac:dyDescent="0.25">
      <c r="A65" t="s">
        <v>35</v>
      </c>
      <c r="B65" t="s">
        <v>67</v>
      </c>
      <c r="C65" t="s">
        <v>28</v>
      </c>
      <c r="D65" t="s">
        <v>5</v>
      </c>
      <c r="E65" t="s">
        <v>52</v>
      </c>
      <c r="N65" t="s">
        <v>53</v>
      </c>
    </row>
    <row r="66" spans="1:14" x14ac:dyDescent="0.25">
      <c r="A66" t="s">
        <v>35</v>
      </c>
      <c r="B66" t="s">
        <v>67</v>
      </c>
      <c r="C66" t="s">
        <v>29</v>
      </c>
      <c r="D66" t="s">
        <v>5</v>
      </c>
      <c r="E66" t="s">
        <v>52</v>
      </c>
      <c r="N66" t="s">
        <v>53</v>
      </c>
    </row>
    <row r="67" spans="1:14" x14ac:dyDescent="0.25">
      <c r="A67" t="s">
        <v>35</v>
      </c>
      <c r="B67" t="s">
        <v>67</v>
      </c>
      <c r="C67" t="s">
        <v>30</v>
      </c>
      <c r="D67" t="s">
        <v>5</v>
      </c>
      <c r="E67" t="s">
        <v>52</v>
      </c>
      <c r="N67" t="s">
        <v>53</v>
      </c>
    </row>
    <row r="68" spans="1:14" x14ac:dyDescent="0.25">
      <c r="A68" t="s">
        <v>35</v>
      </c>
      <c r="B68" t="s">
        <v>67</v>
      </c>
      <c r="C68" t="s">
        <v>31</v>
      </c>
      <c r="D68" t="s">
        <v>5</v>
      </c>
      <c r="E68" t="s">
        <v>52</v>
      </c>
      <c r="N68" t="s">
        <v>53</v>
      </c>
    </row>
    <row r="69" spans="1:14" x14ac:dyDescent="0.25">
      <c r="A69" t="s">
        <v>35</v>
      </c>
      <c r="B69" t="s">
        <v>67</v>
      </c>
      <c r="C69" t="s">
        <v>32</v>
      </c>
      <c r="D69" t="s">
        <v>5</v>
      </c>
      <c r="E69" t="s">
        <v>52</v>
      </c>
      <c r="N69" t="s">
        <v>53</v>
      </c>
    </row>
    <row r="70" spans="1:14" x14ac:dyDescent="0.25">
      <c r="A70" t="s">
        <v>35</v>
      </c>
      <c r="B70" t="s">
        <v>67</v>
      </c>
      <c r="C70" s="1" t="s">
        <v>33</v>
      </c>
      <c r="D70" t="s">
        <v>5</v>
      </c>
      <c r="E70" t="s">
        <v>52</v>
      </c>
      <c r="N70" t="s">
        <v>53</v>
      </c>
    </row>
    <row r="71" spans="1:14" x14ac:dyDescent="0.25">
      <c r="A71" t="s">
        <v>35</v>
      </c>
      <c r="B71" t="s">
        <v>67</v>
      </c>
      <c r="C71" t="s">
        <v>34</v>
      </c>
      <c r="D71" t="s">
        <v>5</v>
      </c>
      <c r="E71" t="s">
        <v>52</v>
      </c>
      <c r="N71" t="s">
        <v>53</v>
      </c>
    </row>
    <row r="72" spans="1:14" x14ac:dyDescent="0.25">
      <c r="A72" t="s">
        <v>35</v>
      </c>
      <c r="B72" t="s">
        <v>67</v>
      </c>
      <c r="C72" t="s">
        <v>25</v>
      </c>
      <c r="D72" t="s">
        <v>6</v>
      </c>
      <c r="E72" t="s">
        <v>52</v>
      </c>
      <c r="N72" t="s">
        <v>53</v>
      </c>
    </row>
    <row r="73" spans="1:14" x14ac:dyDescent="0.25">
      <c r="A73" t="s">
        <v>35</v>
      </c>
      <c r="B73" t="s">
        <v>67</v>
      </c>
      <c r="C73" t="s">
        <v>26</v>
      </c>
      <c r="D73" t="s">
        <v>6</v>
      </c>
      <c r="E73" t="s">
        <v>52</v>
      </c>
      <c r="N73" t="s">
        <v>53</v>
      </c>
    </row>
    <row r="74" spans="1:14" x14ac:dyDescent="0.25">
      <c r="A74" t="s">
        <v>35</v>
      </c>
      <c r="B74" t="s">
        <v>67</v>
      </c>
      <c r="C74" t="s">
        <v>27</v>
      </c>
      <c r="D74" t="s">
        <v>6</v>
      </c>
      <c r="E74" t="s">
        <v>52</v>
      </c>
      <c r="N74" t="s">
        <v>53</v>
      </c>
    </row>
    <row r="75" spans="1:14" x14ac:dyDescent="0.25">
      <c r="A75" t="s">
        <v>35</v>
      </c>
      <c r="B75" t="s">
        <v>67</v>
      </c>
      <c r="C75" t="s">
        <v>28</v>
      </c>
      <c r="D75" t="s">
        <v>6</v>
      </c>
      <c r="E75" t="s">
        <v>52</v>
      </c>
      <c r="N75" t="s">
        <v>53</v>
      </c>
    </row>
    <row r="76" spans="1:14" x14ac:dyDescent="0.25">
      <c r="A76" t="s">
        <v>35</v>
      </c>
      <c r="B76" t="s">
        <v>67</v>
      </c>
      <c r="C76" t="s">
        <v>29</v>
      </c>
      <c r="D76" t="s">
        <v>6</v>
      </c>
      <c r="E76" t="s">
        <v>52</v>
      </c>
      <c r="N76" t="s">
        <v>53</v>
      </c>
    </row>
    <row r="77" spans="1:14" x14ac:dyDescent="0.25">
      <c r="A77" t="s">
        <v>35</v>
      </c>
      <c r="B77" t="s">
        <v>67</v>
      </c>
      <c r="C77" t="s">
        <v>30</v>
      </c>
      <c r="D77" t="s">
        <v>6</v>
      </c>
      <c r="E77" t="s">
        <v>52</v>
      </c>
      <c r="N77" t="s">
        <v>53</v>
      </c>
    </row>
    <row r="78" spans="1:14" x14ac:dyDescent="0.25">
      <c r="A78" t="s">
        <v>35</v>
      </c>
      <c r="B78" t="s">
        <v>67</v>
      </c>
      <c r="C78" t="s">
        <v>31</v>
      </c>
      <c r="D78" t="s">
        <v>6</v>
      </c>
      <c r="E78" t="s">
        <v>52</v>
      </c>
      <c r="N78" t="s">
        <v>53</v>
      </c>
    </row>
    <row r="79" spans="1:14" x14ac:dyDescent="0.25">
      <c r="A79" t="s">
        <v>35</v>
      </c>
      <c r="B79" t="s">
        <v>67</v>
      </c>
      <c r="C79" t="s">
        <v>32</v>
      </c>
      <c r="D79" t="s">
        <v>6</v>
      </c>
      <c r="E79" t="s">
        <v>52</v>
      </c>
      <c r="N79" t="s">
        <v>53</v>
      </c>
    </row>
    <row r="80" spans="1:14" x14ac:dyDescent="0.25">
      <c r="A80" t="s">
        <v>35</v>
      </c>
      <c r="B80" t="s">
        <v>67</v>
      </c>
      <c r="C80" s="1" t="s">
        <v>33</v>
      </c>
      <c r="D80" t="s">
        <v>6</v>
      </c>
      <c r="E80" t="s">
        <v>52</v>
      </c>
      <c r="N80" t="s">
        <v>53</v>
      </c>
    </row>
    <row r="81" spans="1:14" x14ac:dyDescent="0.25">
      <c r="A81" t="s">
        <v>35</v>
      </c>
      <c r="B81" t="s">
        <v>67</v>
      </c>
      <c r="C81" t="s">
        <v>34</v>
      </c>
      <c r="D81" t="s">
        <v>6</v>
      </c>
      <c r="E81" t="s">
        <v>52</v>
      </c>
      <c r="N81" t="s">
        <v>53</v>
      </c>
    </row>
    <row r="82" spans="1:14" x14ac:dyDescent="0.25">
      <c r="A82" t="s">
        <v>35</v>
      </c>
      <c r="B82" t="s">
        <v>67</v>
      </c>
      <c r="C82" t="s">
        <v>25</v>
      </c>
      <c r="D82" t="s">
        <v>7</v>
      </c>
      <c r="E82" t="s">
        <v>52</v>
      </c>
      <c r="N82" t="s">
        <v>53</v>
      </c>
    </row>
    <row r="83" spans="1:14" x14ac:dyDescent="0.25">
      <c r="A83" t="s">
        <v>35</v>
      </c>
      <c r="B83" t="s">
        <v>67</v>
      </c>
      <c r="C83" t="s">
        <v>26</v>
      </c>
      <c r="D83" t="s">
        <v>7</v>
      </c>
      <c r="E83" t="s">
        <v>52</v>
      </c>
      <c r="N83" t="s">
        <v>53</v>
      </c>
    </row>
    <row r="84" spans="1:14" x14ac:dyDescent="0.25">
      <c r="A84" t="s">
        <v>35</v>
      </c>
      <c r="B84" t="s">
        <v>67</v>
      </c>
      <c r="C84" t="s">
        <v>27</v>
      </c>
      <c r="D84" t="s">
        <v>7</v>
      </c>
      <c r="E84" t="s">
        <v>52</v>
      </c>
      <c r="N84" t="s">
        <v>53</v>
      </c>
    </row>
    <row r="85" spans="1:14" x14ac:dyDescent="0.25">
      <c r="A85" t="s">
        <v>35</v>
      </c>
      <c r="B85" t="s">
        <v>67</v>
      </c>
      <c r="C85" t="s">
        <v>28</v>
      </c>
      <c r="D85" t="s">
        <v>7</v>
      </c>
      <c r="E85" t="s">
        <v>52</v>
      </c>
      <c r="N85" t="s">
        <v>53</v>
      </c>
    </row>
    <row r="86" spans="1:14" x14ac:dyDescent="0.25">
      <c r="A86" t="s">
        <v>35</v>
      </c>
      <c r="B86" t="s">
        <v>67</v>
      </c>
      <c r="C86" t="s">
        <v>29</v>
      </c>
      <c r="D86" t="s">
        <v>7</v>
      </c>
      <c r="E86" t="s">
        <v>52</v>
      </c>
      <c r="N86" t="s">
        <v>53</v>
      </c>
    </row>
    <row r="87" spans="1:14" x14ac:dyDescent="0.25">
      <c r="A87" t="s">
        <v>35</v>
      </c>
      <c r="B87" t="s">
        <v>67</v>
      </c>
      <c r="C87" t="s">
        <v>30</v>
      </c>
      <c r="D87" t="s">
        <v>7</v>
      </c>
      <c r="E87" t="s">
        <v>52</v>
      </c>
      <c r="N87" t="s">
        <v>53</v>
      </c>
    </row>
    <row r="88" spans="1:14" x14ac:dyDescent="0.25">
      <c r="A88" t="s">
        <v>35</v>
      </c>
      <c r="B88" t="s">
        <v>67</v>
      </c>
      <c r="C88" t="s">
        <v>31</v>
      </c>
      <c r="D88" t="s">
        <v>7</v>
      </c>
      <c r="E88" t="s">
        <v>52</v>
      </c>
      <c r="N88" t="s">
        <v>53</v>
      </c>
    </row>
    <row r="89" spans="1:14" x14ac:dyDescent="0.25">
      <c r="A89" t="s">
        <v>35</v>
      </c>
      <c r="B89" t="s">
        <v>67</v>
      </c>
      <c r="C89" t="s">
        <v>32</v>
      </c>
      <c r="D89" t="s">
        <v>7</v>
      </c>
      <c r="E89" t="s">
        <v>52</v>
      </c>
      <c r="N89" t="s">
        <v>53</v>
      </c>
    </row>
    <row r="90" spans="1:14" x14ac:dyDescent="0.25">
      <c r="A90" t="s">
        <v>35</v>
      </c>
      <c r="B90" t="s">
        <v>67</v>
      </c>
      <c r="C90" s="1" t="s">
        <v>33</v>
      </c>
      <c r="D90" t="s">
        <v>7</v>
      </c>
      <c r="E90" t="s">
        <v>52</v>
      </c>
      <c r="N90" t="s">
        <v>53</v>
      </c>
    </row>
    <row r="91" spans="1:14" x14ac:dyDescent="0.25">
      <c r="A91" t="s">
        <v>35</v>
      </c>
      <c r="B91" t="s">
        <v>67</v>
      </c>
      <c r="C91" t="s">
        <v>34</v>
      </c>
      <c r="D91" t="s">
        <v>7</v>
      </c>
      <c r="E91" t="s">
        <v>52</v>
      </c>
      <c r="N91" t="s">
        <v>53</v>
      </c>
    </row>
    <row r="92" spans="1:14" x14ac:dyDescent="0.25">
      <c r="A92" t="s">
        <v>35</v>
      </c>
      <c r="B92" t="s">
        <v>67</v>
      </c>
      <c r="C92" s="2" t="s">
        <v>25</v>
      </c>
      <c r="D92" t="s">
        <v>8</v>
      </c>
      <c r="E92" t="s">
        <v>52</v>
      </c>
      <c r="N92" t="s">
        <v>53</v>
      </c>
    </row>
    <row r="93" spans="1:14" x14ac:dyDescent="0.25">
      <c r="A93" t="s">
        <v>35</v>
      </c>
      <c r="B93" t="s">
        <v>67</v>
      </c>
      <c r="C93" s="2" t="s">
        <v>26</v>
      </c>
      <c r="D93" t="s">
        <v>8</v>
      </c>
      <c r="E93" t="s">
        <v>52</v>
      </c>
      <c r="N93" t="s">
        <v>53</v>
      </c>
    </row>
    <row r="94" spans="1:14" x14ac:dyDescent="0.25">
      <c r="A94" t="s">
        <v>35</v>
      </c>
      <c r="B94" t="s">
        <v>67</v>
      </c>
      <c r="C94" s="2" t="s">
        <v>27</v>
      </c>
      <c r="D94" t="s">
        <v>8</v>
      </c>
      <c r="E94" t="s">
        <v>52</v>
      </c>
      <c r="N94" t="s">
        <v>53</v>
      </c>
    </row>
    <row r="95" spans="1:14" x14ac:dyDescent="0.25">
      <c r="A95" t="s">
        <v>35</v>
      </c>
      <c r="B95" t="s">
        <v>67</v>
      </c>
      <c r="C95" s="2" t="s">
        <v>28</v>
      </c>
      <c r="D95" t="s">
        <v>8</v>
      </c>
      <c r="E95" t="s">
        <v>52</v>
      </c>
      <c r="N95" t="s">
        <v>53</v>
      </c>
    </row>
    <row r="96" spans="1:14" x14ac:dyDescent="0.25">
      <c r="A96" t="s">
        <v>35</v>
      </c>
      <c r="B96" t="s">
        <v>67</v>
      </c>
      <c r="C96" s="2" t="s">
        <v>29</v>
      </c>
      <c r="D96" t="s">
        <v>8</v>
      </c>
      <c r="E96" t="s">
        <v>52</v>
      </c>
      <c r="N96" t="s">
        <v>53</v>
      </c>
    </row>
    <row r="97" spans="1:14" x14ac:dyDescent="0.25">
      <c r="A97" t="s">
        <v>35</v>
      </c>
      <c r="B97" t="s">
        <v>67</v>
      </c>
      <c r="C97" s="2" t="s">
        <v>30</v>
      </c>
      <c r="D97" t="s">
        <v>8</v>
      </c>
      <c r="E97" t="s">
        <v>52</v>
      </c>
      <c r="N97" t="s">
        <v>53</v>
      </c>
    </row>
    <row r="98" spans="1:14" x14ac:dyDescent="0.25">
      <c r="A98" t="s">
        <v>35</v>
      </c>
      <c r="B98" t="s">
        <v>67</v>
      </c>
      <c r="C98" s="2" t="s">
        <v>31</v>
      </c>
      <c r="D98" t="s">
        <v>8</v>
      </c>
      <c r="E98" t="s">
        <v>52</v>
      </c>
      <c r="N98" t="s">
        <v>53</v>
      </c>
    </row>
    <row r="99" spans="1:14" x14ac:dyDescent="0.25">
      <c r="A99" t="s">
        <v>35</v>
      </c>
      <c r="B99" t="s">
        <v>67</v>
      </c>
      <c r="C99" s="2" t="s">
        <v>32</v>
      </c>
      <c r="D99" t="s">
        <v>8</v>
      </c>
      <c r="E99" t="s">
        <v>52</v>
      </c>
      <c r="N99" t="s">
        <v>53</v>
      </c>
    </row>
    <row r="100" spans="1:14" x14ac:dyDescent="0.25">
      <c r="A100" t="s">
        <v>35</v>
      </c>
      <c r="B100" t="s">
        <v>67</v>
      </c>
      <c r="C100" s="2" t="s">
        <v>33</v>
      </c>
      <c r="D100" t="s">
        <v>8</v>
      </c>
      <c r="E100" t="s">
        <v>52</v>
      </c>
      <c r="N100" t="s">
        <v>53</v>
      </c>
    </row>
    <row r="101" spans="1:14" x14ac:dyDescent="0.25">
      <c r="A101" t="s">
        <v>35</v>
      </c>
      <c r="B101" t="s">
        <v>67</v>
      </c>
      <c r="C101" s="2" t="s">
        <v>34</v>
      </c>
      <c r="D101" t="s">
        <v>8</v>
      </c>
      <c r="E101" t="s">
        <v>52</v>
      </c>
      <c r="N101" t="s">
        <v>53</v>
      </c>
    </row>
    <row r="102" spans="1:14" x14ac:dyDescent="0.25">
      <c r="A102" t="s">
        <v>35</v>
      </c>
      <c r="B102" t="s">
        <v>67</v>
      </c>
      <c r="C102" s="2" t="s">
        <v>25</v>
      </c>
      <c r="D102" t="s">
        <v>9</v>
      </c>
      <c r="E102" t="s">
        <v>52</v>
      </c>
      <c r="N102" t="s">
        <v>53</v>
      </c>
    </row>
    <row r="103" spans="1:14" x14ac:dyDescent="0.25">
      <c r="A103" t="s">
        <v>35</v>
      </c>
      <c r="B103" t="s">
        <v>67</v>
      </c>
      <c r="C103" s="2" t="s">
        <v>26</v>
      </c>
      <c r="D103" t="s">
        <v>9</v>
      </c>
      <c r="E103" t="s">
        <v>52</v>
      </c>
      <c r="N103" t="s">
        <v>53</v>
      </c>
    </row>
    <row r="104" spans="1:14" x14ac:dyDescent="0.25">
      <c r="A104" t="s">
        <v>35</v>
      </c>
      <c r="B104" t="s">
        <v>67</v>
      </c>
      <c r="C104" s="2" t="s">
        <v>27</v>
      </c>
      <c r="D104" t="s">
        <v>9</v>
      </c>
      <c r="E104" t="s">
        <v>52</v>
      </c>
      <c r="N104" t="s">
        <v>53</v>
      </c>
    </row>
    <row r="105" spans="1:14" x14ac:dyDescent="0.25">
      <c r="A105" t="s">
        <v>35</v>
      </c>
      <c r="B105" t="s">
        <v>67</v>
      </c>
      <c r="C105" s="2" t="s">
        <v>28</v>
      </c>
      <c r="D105" t="s">
        <v>9</v>
      </c>
      <c r="E105" t="s">
        <v>52</v>
      </c>
      <c r="N105" t="s">
        <v>53</v>
      </c>
    </row>
    <row r="106" spans="1:14" x14ac:dyDescent="0.25">
      <c r="A106" t="s">
        <v>35</v>
      </c>
      <c r="B106" t="s">
        <v>67</v>
      </c>
      <c r="C106" s="2" t="s">
        <v>29</v>
      </c>
      <c r="D106" t="s">
        <v>9</v>
      </c>
      <c r="E106" t="s">
        <v>52</v>
      </c>
      <c r="N106" t="s">
        <v>53</v>
      </c>
    </row>
    <row r="107" spans="1:14" x14ac:dyDescent="0.25">
      <c r="A107" t="s">
        <v>35</v>
      </c>
      <c r="B107" t="s">
        <v>67</v>
      </c>
      <c r="C107" s="2" t="s">
        <v>30</v>
      </c>
      <c r="D107" t="s">
        <v>9</v>
      </c>
      <c r="E107" t="s">
        <v>52</v>
      </c>
      <c r="N107" t="s">
        <v>53</v>
      </c>
    </row>
    <row r="108" spans="1:14" x14ac:dyDescent="0.25">
      <c r="A108" t="s">
        <v>35</v>
      </c>
      <c r="B108" t="s">
        <v>67</v>
      </c>
      <c r="C108" s="2" t="s">
        <v>31</v>
      </c>
      <c r="D108" t="s">
        <v>9</v>
      </c>
      <c r="E108" t="s">
        <v>52</v>
      </c>
      <c r="N108" t="s">
        <v>53</v>
      </c>
    </row>
    <row r="109" spans="1:14" x14ac:dyDescent="0.25">
      <c r="A109" t="s">
        <v>35</v>
      </c>
      <c r="B109" t="s">
        <v>67</v>
      </c>
      <c r="C109" s="2" t="s">
        <v>32</v>
      </c>
      <c r="D109" t="s">
        <v>9</v>
      </c>
      <c r="E109" t="s">
        <v>52</v>
      </c>
      <c r="N109" t="s">
        <v>53</v>
      </c>
    </row>
    <row r="110" spans="1:14" x14ac:dyDescent="0.25">
      <c r="A110" t="s">
        <v>35</v>
      </c>
      <c r="B110" t="s">
        <v>67</v>
      </c>
      <c r="C110" s="2" t="s">
        <v>33</v>
      </c>
      <c r="D110" t="s">
        <v>9</v>
      </c>
      <c r="E110" t="s">
        <v>52</v>
      </c>
      <c r="N110" t="s">
        <v>53</v>
      </c>
    </row>
    <row r="111" spans="1:14" x14ac:dyDescent="0.25">
      <c r="A111" t="s">
        <v>35</v>
      </c>
      <c r="B111" t="s">
        <v>67</v>
      </c>
      <c r="C111" s="2" t="s">
        <v>34</v>
      </c>
      <c r="D111" t="s">
        <v>9</v>
      </c>
      <c r="E111" t="s">
        <v>52</v>
      </c>
      <c r="N111" t="s">
        <v>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5CF45-41E1-CB46-800E-E70FA25E6EA5}">
  <dimension ref="A1:J111"/>
  <sheetViews>
    <sheetView workbookViewId="0">
      <selection activeCell="F1" sqref="F1:I1"/>
    </sheetView>
  </sheetViews>
  <sheetFormatPr defaultColWidth="11" defaultRowHeight="15.75" x14ac:dyDescent="0.25"/>
  <cols>
    <col min="3" max="3" width="17.125" bestFit="1" customWidth="1"/>
    <col min="4" max="4" width="14.5" bestFit="1" customWidth="1"/>
  </cols>
  <sheetData>
    <row r="1" spans="1:10" x14ac:dyDescent="0.25">
      <c r="A1" t="s">
        <v>0</v>
      </c>
      <c r="B1" t="s">
        <v>39</v>
      </c>
      <c r="C1" t="s">
        <v>1</v>
      </c>
      <c r="D1" t="s">
        <v>3</v>
      </c>
      <c r="E1" t="s">
        <v>37</v>
      </c>
      <c r="F1" t="s">
        <v>40</v>
      </c>
      <c r="G1" t="s">
        <v>41</v>
      </c>
      <c r="H1" t="s">
        <v>54</v>
      </c>
      <c r="I1" t="s">
        <v>55</v>
      </c>
      <c r="J1" t="s">
        <v>2</v>
      </c>
    </row>
    <row r="2" spans="1:10" x14ac:dyDescent="0.25">
      <c r="A2" t="s">
        <v>35</v>
      </c>
      <c r="B2" t="s">
        <v>69</v>
      </c>
      <c r="C2" t="s">
        <v>25</v>
      </c>
      <c r="D2" t="s">
        <v>5</v>
      </c>
      <c r="E2" t="s">
        <v>38</v>
      </c>
      <c r="G2">
        <v>2</v>
      </c>
      <c r="J2" t="s">
        <v>53</v>
      </c>
    </row>
    <row r="3" spans="1:10" x14ac:dyDescent="0.25">
      <c r="A3" t="s">
        <v>35</v>
      </c>
      <c r="B3" t="s">
        <v>69</v>
      </c>
      <c r="C3" t="s">
        <v>26</v>
      </c>
      <c r="D3" t="s">
        <v>5</v>
      </c>
      <c r="E3" t="s">
        <v>38</v>
      </c>
      <c r="G3">
        <v>2</v>
      </c>
      <c r="J3" t="s">
        <v>53</v>
      </c>
    </row>
    <row r="4" spans="1:10" x14ac:dyDescent="0.25">
      <c r="A4" t="s">
        <v>35</v>
      </c>
      <c r="B4" t="s">
        <v>69</v>
      </c>
      <c r="C4" t="s">
        <v>27</v>
      </c>
      <c r="D4" t="s">
        <v>5</v>
      </c>
      <c r="E4" t="s">
        <v>38</v>
      </c>
      <c r="G4">
        <v>2</v>
      </c>
      <c r="J4" t="s">
        <v>53</v>
      </c>
    </row>
    <row r="5" spans="1:10" x14ac:dyDescent="0.25">
      <c r="A5" t="s">
        <v>35</v>
      </c>
      <c r="B5" t="s">
        <v>69</v>
      </c>
      <c r="C5" t="s">
        <v>28</v>
      </c>
      <c r="D5" t="s">
        <v>5</v>
      </c>
      <c r="E5" t="s">
        <v>38</v>
      </c>
      <c r="G5">
        <v>2</v>
      </c>
      <c r="J5" t="s">
        <v>53</v>
      </c>
    </row>
    <row r="6" spans="1:10" x14ac:dyDescent="0.25">
      <c r="A6" t="s">
        <v>35</v>
      </c>
      <c r="B6" t="s">
        <v>69</v>
      </c>
      <c r="C6" t="s">
        <v>29</v>
      </c>
      <c r="D6" t="s">
        <v>5</v>
      </c>
      <c r="E6" t="s">
        <v>38</v>
      </c>
      <c r="G6">
        <v>2</v>
      </c>
      <c r="J6" t="s">
        <v>53</v>
      </c>
    </row>
    <row r="7" spans="1:10" x14ac:dyDescent="0.25">
      <c r="A7" t="s">
        <v>35</v>
      </c>
      <c r="B7" t="s">
        <v>69</v>
      </c>
      <c r="C7" t="s">
        <v>30</v>
      </c>
      <c r="D7" t="s">
        <v>5</v>
      </c>
      <c r="E7" t="s">
        <v>38</v>
      </c>
      <c r="G7">
        <v>2</v>
      </c>
      <c r="J7" t="s">
        <v>53</v>
      </c>
    </row>
    <row r="8" spans="1:10" x14ac:dyDescent="0.25">
      <c r="A8" t="s">
        <v>35</v>
      </c>
      <c r="B8" t="s">
        <v>69</v>
      </c>
      <c r="C8" t="s">
        <v>31</v>
      </c>
      <c r="D8" t="s">
        <v>5</v>
      </c>
      <c r="E8" t="s">
        <v>38</v>
      </c>
      <c r="G8">
        <v>2</v>
      </c>
      <c r="J8" t="s">
        <v>53</v>
      </c>
    </row>
    <row r="9" spans="1:10" x14ac:dyDescent="0.25">
      <c r="A9" t="s">
        <v>35</v>
      </c>
      <c r="B9" t="s">
        <v>69</v>
      </c>
      <c r="C9" t="s">
        <v>32</v>
      </c>
      <c r="D9" t="s">
        <v>5</v>
      </c>
      <c r="E9" t="s">
        <v>38</v>
      </c>
      <c r="G9">
        <v>2</v>
      </c>
      <c r="J9" t="s">
        <v>53</v>
      </c>
    </row>
    <row r="10" spans="1:10" x14ac:dyDescent="0.25">
      <c r="A10" t="s">
        <v>35</v>
      </c>
      <c r="B10" t="s">
        <v>69</v>
      </c>
      <c r="C10" s="1" t="s">
        <v>33</v>
      </c>
      <c r="D10" t="s">
        <v>5</v>
      </c>
      <c r="E10" t="s">
        <v>38</v>
      </c>
      <c r="G10">
        <v>2</v>
      </c>
      <c r="J10" t="s">
        <v>53</v>
      </c>
    </row>
    <row r="11" spans="1:10" x14ac:dyDescent="0.25">
      <c r="A11" t="s">
        <v>35</v>
      </c>
      <c r="B11" t="s">
        <v>69</v>
      </c>
      <c r="C11" t="s">
        <v>34</v>
      </c>
      <c r="D11" t="s">
        <v>5</v>
      </c>
      <c r="E11" t="s">
        <v>38</v>
      </c>
      <c r="G11">
        <v>2</v>
      </c>
      <c r="J11" t="s">
        <v>53</v>
      </c>
    </row>
    <row r="12" spans="1:10" x14ac:dyDescent="0.25">
      <c r="A12" t="s">
        <v>35</v>
      </c>
      <c r="B12" t="s">
        <v>69</v>
      </c>
      <c r="C12" t="s">
        <v>25</v>
      </c>
      <c r="D12" t="s">
        <v>6</v>
      </c>
      <c r="E12" t="s">
        <v>38</v>
      </c>
      <c r="G12">
        <v>2</v>
      </c>
      <c r="J12" t="s">
        <v>53</v>
      </c>
    </row>
    <row r="13" spans="1:10" x14ac:dyDescent="0.25">
      <c r="A13" t="s">
        <v>35</v>
      </c>
      <c r="B13" t="s">
        <v>69</v>
      </c>
      <c r="C13" t="s">
        <v>26</v>
      </c>
      <c r="D13" t="s">
        <v>6</v>
      </c>
      <c r="E13" t="s">
        <v>38</v>
      </c>
      <c r="G13">
        <v>2</v>
      </c>
      <c r="J13" t="s">
        <v>53</v>
      </c>
    </row>
    <row r="14" spans="1:10" x14ac:dyDescent="0.25">
      <c r="A14" t="s">
        <v>35</v>
      </c>
      <c r="B14" t="s">
        <v>69</v>
      </c>
      <c r="C14" t="s">
        <v>27</v>
      </c>
      <c r="D14" t="s">
        <v>6</v>
      </c>
      <c r="E14" t="s">
        <v>38</v>
      </c>
      <c r="G14">
        <v>2</v>
      </c>
      <c r="J14" t="s">
        <v>53</v>
      </c>
    </row>
    <row r="15" spans="1:10" x14ac:dyDescent="0.25">
      <c r="A15" t="s">
        <v>35</v>
      </c>
      <c r="B15" t="s">
        <v>69</v>
      </c>
      <c r="C15" t="s">
        <v>28</v>
      </c>
      <c r="D15" t="s">
        <v>6</v>
      </c>
      <c r="E15" t="s">
        <v>38</v>
      </c>
      <c r="G15">
        <v>2</v>
      </c>
      <c r="J15" t="s">
        <v>53</v>
      </c>
    </row>
    <row r="16" spans="1:10" x14ac:dyDescent="0.25">
      <c r="A16" t="s">
        <v>35</v>
      </c>
      <c r="B16" t="s">
        <v>69</v>
      </c>
      <c r="C16" t="s">
        <v>29</v>
      </c>
      <c r="D16" t="s">
        <v>6</v>
      </c>
      <c r="E16" t="s">
        <v>38</v>
      </c>
      <c r="G16">
        <v>2</v>
      </c>
      <c r="J16" t="s">
        <v>53</v>
      </c>
    </row>
    <row r="17" spans="1:10" x14ac:dyDescent="0.25">
      <c r="A17" t="s">
        <v>35</v>
      </c>
      <c r="B17" t="s">
        <v>69</v>
      </c>
      <c r="C17" t="s">
        <v>30</v>
      </c>
      <c r="D17" t="s">
        <v>6</v>
      </c>
      <c r="E17" t="s">
        <v>38</v>
      </c>
      <c r="G17">
        <v>2</v>
      </c>
      <c r="J17" t="s">
        <v>53</v>
      </c>
    </row>
    <row r="18" spans="1:10" x14ac:dyDescent="0.25">
      <c r="A18" t="s">
        <v>35</v>
      </c>
      <c r="B18" t="s">
        <v>69</v>
      </c>
      <c r="C18" t="s">
        <v>31</v>
      </c>
      <c r="D18" t="s">
        <v>6</v>
      </c>
      <c r="E18" t="s">
        <v>38</v>
      </c>
      <c r="G18">
        <v>2</v>
      </c>
      <c r="J18" t="s">
        <v>53</v>
      </c>
    </row>
    <row r="19" spans="1:10" x14ac:dyDescent="0.25">
      <c r="A19" t="s">
        <v>35</v>
      </c>
      <c r="B19" t="s">
        <v>69</v>
      </c>
      <c r="C19" t="s">
        <v>32</v>
      </c>
      <c r="D19" t="s">
        <v>6</v>
      </c>
      <c r="E19" t="s">
        <v>38</v>
      </c>
      <c r="G19">
        <v>2</v>
      </c>
      <c r="J19" t="s">
        <v>53</v>
      </c>
    </row>
    <row r="20" spans="1:10" x14ac:dyDescent="0.25">
      <c r="A20" t="s">
        <v>35</v>
      </c>
      <c r="B20" t="s">
        <v>69</v>
      </c>
      <c r="C20" s="1" t="s">
        <v>33</v>
      </c>
      <c r="D20" t="s">
        <v>6</v>
      </c>
      <c r="E20" t="s">
        <v>38</v>
      </c>
      <c r="G20">
        <v>2</v>
      </c>
      <c r="J20" t="s">
        <v>53</v>
      </c>
    </row>
    <row r="21" spans="1:10" x14ac:dyDescent="0.25">
      <c r="A21" t="s">
        <v>35</v>
      </c>
      <c r="B21" t="s">
        <v>69</v>
      </c>
      <c r="C21" t="s">
        <v>34</v>
      </c>
      <c r="D21" t="s">
        <v>6</v>
      </c>
      <c r="E21" t="s">
        <v>38</v>
      </c>
      <c r="G21">
        <v>2</v>
      </c>
      <c r="J21" t="s">
        <v>53</v>
      </c>
    </row>
    <row r="22" spans="1:10" x14ac:dyDescent="0.25">
      <c r="A22" t="s">
        <v>35</v>
      </c>
      <c r="B22" t="s">
        <v>69</v>
      </c>
      <c r="C22" t="s">
        <v>25</v>
      </c>
      <c r="D22" t="s">
        <v>7</v>
      </c>
      <c r="E22" t="s">
        <v>38</v>
      </c>
      <c r="G22">
        <v>2</v>
      </c>
      <c r="J22" t="s">
        <v>53</v>
      </c>
    </row>
    <row r="23" spans="1:10" x14ac:dyDescent="0.25">
      <c r="A23" t="s">
        <v>35</v>
      </c>
      <c r="B23" t="s">
        <v>69</v>
      </c>
      <c r="C23" t="s">
        <v>26</v>
      </c>
      <c r="D23" t="s">
        <v>7</v>
      </c>
      <c r="E23" t="s">
        <v>38</v>
      </c>
      <c r="G23">
        <v>2</v>
      </c>
      <c r="J23" t="s">
        <v>53</v>
      </c>
    </row>
    <row r="24" spans="1:10" x14ac:dyDescent="0.25">
      <c r="A24" t="s">
        <v>35</v>
      </c>
      <c r="B24" t="s">
        <v>69</v>
      </c>
      <c r="C24" t="s">
        <v>27</v>
      </c>
      <c r="D24" t="s">
        <v>7</v>
      </c>
      <c r="E24" t="s">
        <v>38</v>
      </c>
      <c r="G24">
        <v>2</v>
      </c>
      <c r="J24" t="s">
        <v>53</v>
      </c>
    </row>
    <row r="25" spans="1:10" x14ac:dyDescent="0.25">
      <c r="A25" t="s">
        <v>35</v>
      </c>
      <c r="B25" t="s">
        <v>69</v>
      </c>
      <c r="C25" t="s">
        <v>28</v>
      </c>
      <c r="D25" t="s">
        <v>7</v>
      </c>
      <c r="E25" t="s">
        <v>38</v>
      </c>
      <c r="G25">
        <v>2</v>
      </c>
      <c r="J25" t="s">
        <v>53</v>
      </c>
    </row>
    <row r="26" spans="1:10" x14ac:dyDescent="0.25">
      <c r="A26" t="s">
        <v>35</v>
      </c>
      <c r="B26" t="s">
        <v>69</v>
      </c>
      <c r="C26" t="s">
        <v>29</v>
      </c>
      <c r="D26" t="s">
        <v>7</v>
      </c>
      <c r="E26" t="s">
        <v>38</v>
      </c>
      <c r="G26">
        <v>2</v>
      </c>
      <c r="J26" t="s">
        <v>53</v>
      </c>
    </row>
    <row r="27" spans="1:10" x14ac:dyDescent="0.25">
      <c r="A27" t="s">
        <v>35</v>
      </c>
      <c r="B27" t="s">
        <v>69</v>
      </c>
      <c r="C27" t="s">
        <v>30</v>
      </c>
      <c r="D27" t="s">
        <v>7</v>
      </c>
      <c r="E27" t="s">
        <v>38</v>
      </c>
      <c r="G27">
        <v>2</v>
      </c>
      <c r="J27" t="s">
        <v>53</v>
      </c>
    </row>
    <row r="28" spans="1:10" x14ac:dyDescent="0.25">
      <c r="A28" t="s">
        <v>35</v>
      </c>
      <c r="B28" t="s">
        <v>69</v>
      </c>
      <c r="C28" t="s">
        <v>31</v>
      </c>
      <c r="D28" t="s">
        <v>7</v>
      </c>
      <c r="E28" t="s">
        <v>38</v>
      </c>
      <c r="G28">
        <v>2</v>
      </c>
      <c r="J28" t="s">
        <v>53</v>
      </c>
    </row>
    <row r="29" spans="1:10" x14ac:dyDescent="0.25">
      <c r="A29" t="s">
        <v>35</v>
      </c>
      <c r="B29" t="s">
        <v>69</v>
      </c>
      <c r="C29" t="s">
        <v>32</v>
      </c>
      <c r="D29" t="s">
        <v>7</v>
      </c>
      <c r="E29" t="s">
        <v>38</v>
      </c>
      <c r="G29">
        <v>2</v>
      </c>
      <c r="J29" t="s">
        <v>53</v>
      </c>
    </row>
    <row r="30" spans="1:10" x14ac:dyDescent="0.25">
      <c r="A30" t="s">
        <v>35</v>
      </c>
      <c r="B30" t="s">
        <v>69</v>
      </c>
      <c r="C30" s="1" t="s">
        <v>33</v>
      </c>
      <c r="D30" t="s">
        <v>7</v>
      </c>
      <c r="E30" t="s">
        <v>38</v>
      </c>
      <c r="G30">
        <v>2</v>
      </c>
      <c r="J30" t="s">
        <v>53</v>
      </c>
    </row>
    <row r="31" spans="1:10" x14ac:dyDescent="0.25">
      <c r="A31" t="s">
        <v>35</v>
      </c>
      <c r="B31" t="s">
        <v>69</v>
      </c>
      <c r="C31" t="s">
        <v>34</v>
      </c>
      <c r="D31" t="s">
        <v>7</v>
      </c>
      <c r="E31" t="s">
        <v>38</v>
      </c>
      <c r="G31">
        <v>2</v>
      </c>
      <c r="J31" t="s">
        <v>53</v>
      </c>
    </row>
    <row r="32" spans="1:10" x14ac:dyDescent="0.25">
      <c r="A32" t="s">
        <v>35</v>
      </c>
      <c r="B32" t="s">
        <v>69</v>
      </c>
      <c r="C32" s="2" t="s">
        <v>25</v>
      </c>
      <c r="D32" t="s">
        <v>8</v>
      </c>
      <c r="E32" t="s">
        <v>38</v>
      </c>
      <c r="G32">
        <v>2</v>
      </c>
      <c r="J32" t="s">
        <v>53</v>
      </c>
    </row>
    <row r="33" spans="1:10" x14ac:dyDescent="0.25">
      <c r="A33" t="s">
        <v>35</v>
      </c>
      <c r="B33" t="s">
        <v>69</v>
      </c>
      <c r="C33" s="2" t="s">
        <v>26</v>
      </c>
      <c r="D33" t="s">
        <v>8</v>
      </c>
      <c r="E33" t="s">
        <v>38</v>
      </c>
      <c r="G33">
        <v>2</v>
      </c>
      <c r="J33" t="s">
        <v>53</v>
      </c>
    </row>
    <row r="34" spans="1:10" x14ac:dyDescent="0.25">
      <c r="A34" t="s">
        <v>35</v>
      </c>
      <c r="B34" t="s">
        <v>69</v>
      </c>
      <c r="C34" s="2" t="s">
        <v>27</v>
      </c>
      <c r="D34" t="s">
        <v>8</v>
      </c>
      <c r="E34" t="s">
        <v>38</v>
      </c>
      <c r="G34">
        <v>2</v>
      </c>
      <c r="J34" t="s">
        <v>53</v>
      </c>
    </row>
    <row r="35" spans="1:10" x14ac:dyDescent="0.25">
      <c r="A35" t="s">
        <v>35</v>
      </c>
      <c r="B35" t="s">
        <v>69</v>
      </c>
      <c r="C35" s="2" t="s">
        <v>28</v>
      </c>
      <c r="D35" t="s">
        <v>8</v>
      </c>
      <c r="E35" t="s">
        <v>38</v>
      </c>
      <c r="G35">
        <v>2</v>
      </c>
      <c r="J35" t="s">
        <v>53</v>
      </c>
    </row>
    <row r="36" spans="1:10" x14ac:dyDescent="0.25">
      <c r="A36" t="s">
        <v>35</v>
      </c>
      <c r="B36" t="s">
        <v>69</v>
      </c>
      <c r="C36" s="2" t="s">
        <v>29</v>
      </c>
      <c r="D36" t="s">
        <v>8</v>
      </c>
      <c r="E36" t="s">
        <v>38</v>
      </c>
      <c r="G36">
        <v>2</v>
      </c>
      <c r="J36" t="s">
        <v>53</v>
      </c>
    </row>
    <row r="37" spans="1:10" x14ac:dyDescent="0.25">
      <c r="A37" t="s">
        <v>35</v>
      </c>
      <c r="B37" t="s">
        <v>69</v>
      </c>
      <c r="C37" s="2" t="s">
        <v>30</v>
      </c>
      <c r="D37" t="s">
        <v>8</v>
      </c>
      <c r="E37" t="s">
        <v>38</v>
      </c>
      <c r="G37">
        <v>2</v>
      </c>
      <c r="J37" t="s">
        <v>53</v>
      </c>
    </row>
    <row r="38" spans="1:10" x14ac:dyDescent="0.25">
      <c r="A38" t="s">
        <v>35</v>
      </c>
      <c r="B38" t="s">
        <v>69</v>
      </c>
      <c r="C38" s="2" t="s">
        <v>31</v>
      </c>
      <c r="D38" t="s">
        <v>8</v>
      </c>
      <c r="E38" t="s">
        <v>38</v>
      </c>
      <c r="G38">
        <v>2</v>
      </c>
      <c r="J38" t="s">
        <v>53</v>
      </c>
    </row>
    <row r="39" spans="1:10" x14ac:dyDescent="0.25">
      <c r="A39" t="s">
        <v>35</v>
      </c>
      <c r="B39" t="s">
        <v>69</v>
      </c>
      <c r="C39" s="2" t="s">
        <v>32</v>
      </c>
      <c r="D39" t="s">
        <v>8</v>
      </c>
      <c r="E39" t="s">
        <v>38</v>
      </c>
      <c r="G39">
        <v>2</v>
      </c>
      <c r="J39" t="s">
        <v>53</v>
      </c>
    </row>
    <row r="40" spans="1:10" x14ac:dyDescent="0.25">
      <c r="A40" t="s">
        <v>35</v>
      </c>
      <c r="B40" t="s">
        <v>69</v>
      </c>
      <c r="C40" s="2" t="s">
        <v>33</v>
      </c>
      <c r="D40" t="s">
        <v>8</v>
      </c>
      <c r="E40" t="s">
        <v>38</v>
      </c>
      <c r="G40">
        <v>2</v>
      </c>
      <c r="J40" t="s">
        <v>53</v>
      </c>
    </row>
    <row r="41" spans="1:10" x14ac:dyDescent="0.25">
      <c r="A41" t="s">
        <v>35</v>
      </c>
      <c r="B41" t="s">
        <v>69</v>
      </c>
      <c r="C41" s="2" t="s">
        <v>34</v>
      </c>
      <c r="D41" t="s">
        <v>8</v>
      </c>
      <c r="E41" t="s">
        <v>38</v>
      </c>
      <c r="G41">
        <v>2</v>
      </c>
      <c r="J41" t="s">
        <v>53</v>
      </c>
    </row>
    <row r="42" spans="1:10" x14ac:dyDescent="0.25">
      <c r="A42" t="s">
        <v>35</v>
      </c>
      <c r="B42" t="s">
        <v>69</v>
      </c>
      <c r="C42" s="2" t="s">
        <v>25</v>
      </c>
      <c r="D42" t="s">
        <v>9</v>
      </c>
      <c r="E42" t="s">
        <v>38</v>
      </c>
      <c r="G42">
        <v>2</v>
      </c>
      <c r="J42" t="s">
        <v>53</v>
      </c>
    </row>
    <row r="43" spans="1:10" x14ac:dyDescent="0.25">
      <c r="A43" t="s">
        <v>35</v>
      </c>
      <c r="B43" t="s">
        <v>69</v>
      </c>
      <c r="C43" s="2" t="s">
        <v>26</v>
      </c>
      <c r="D43" t="s">
        <v>9</v>
      </c>
      <c r="E43" t="s">
        <v>38</v>
      </c>
      <c r="G43">
        <v>2</v>
      </c>
      <c r="J43" t="s">
        <v>53</v>
      </c>
    </row>
    <row r="44" spans="1:10" x14ac:dyDescent="0.25">
      <c r="A44" t="s">
        <v>35</v>
      </c>
      <c r="B44" t="s">
        <v>69</v>
      </c>
      <c r="C44" s="2" t="s">
        <v>27</v>
      </c>
      <c r="D44" t="s">
        <v>9</v>
      </c>
      <c r="E44" t="s">
        <v>38</v>
      </c>
      <c r="G44">
        <v>2</v>
      </c>
      <c r="J44" t="s">
        <v>53</v>
      </c>
    </row>
    <row r="45" spans="1:10" x14ac:dyDescent="0.25">
      <c r="A45" t="s">
        <v>35</v>
      </c>
      <c r="B45" t="s">
        <v>69</v>
      </c>
      <c r="C45" s="2" t="s">
        <v>28</v>
      </c>
      <c r="D45" t="s">
        <v>9</v>
      </c>
      <c r="E45" t="s">
        <v>38</v>
      </c>
      <c r="G45">
        <v>2</v>
      </c>
      <c r="J45" t="s">
        <v>53</v>
      </c>
    </row>
    <row r="46" spans="1:10" x14ac:dyDescent="0.25">
      <c r="A46" t="s">
        <v>35</v>
      </c>
      <c r="B46" t="s">
        <v>69</v>
      </c>
      <c r="C46" s="2" t="s">
        <v>29</v>
      </c>
      <c r="D46" t="s">
        <v>9</v>
      </c>
      <c r="E46" t="s">
        <v>38</v>
      </c>
      <c r="G46">
        <v>2</v>
      </c>
      <c r="J46" t="s">
        <v>53</v>
      </c>
    </row>
    <row r="47" spans="1:10" x14ac:dyDescent="0.25">
      <c r="A47" t="s">
        <v>35</v>
      </c>
      <c r="B47" t="s">
        <v>69</v>
      </c>
      <c r="C47" s="2" t="s">
        <v>30</v>
      </c>
      <c r="D47" t="s">
        <v>9</v>
      </c>
      <c r="E47" t="s">
        <v>38</v>
      </c>
      <c r="G47">
        <v>2</v>
      </c>
      <c r="J47" t="s">
        <v>53</v>
      </c>
    </row>
    <row r="48" spans="1:10" x14ac:dyDescent="0.25">
      <c r="A48" t="s">
        <v>35</v>
      </c>
      <c r="B48" t="s">
        <v>69</v>
      </c>
      <c r="C48" s="2" t="s">
        <v>31</v>
      </c>
      <c r="D48" t="s">
        <v>9</v>
      </c>
      <c r="E48" t="s">
        <v>38</v>
      </c>
      <c r="G48">
        <v>2</v>
      </c>
      <c r="J48" t="s">
        <v>53</v>
      </c>
    </row>
    <row r="49" spans="1:10" x14ac:dyDescent="0.25">
      <c r="A49" t="s">
        <v>35</v>
      </c>
      <c r="B49" t="s">
        <v>69</v>
      </c>
      <c r="C49" s="2" t="s">
        <v>32</v>
      </c>
      <c r="D49" t="s">
        <v>9</v>
      </c>
      <c r="E49" t="s">
        <v>38</v>
      </c>
      <c r="G49">
        <v>2</v>
      </c>
      <c r="J49" t="s">
        <v>53</v>
      </c>
    </row>
    <row r="50" spans="1:10" x14ac:dyDescent="0.25">
      <c r="A50" t="s">
        <v>35</v>
      </c>
      <c r="B50" t="s">
        <v>69</v>
      </c>
      <c r="C50" s="2" t="s">
        <v>33</v>
      </c>
      <c r="D50" t="s">
        <v>9</v>
      </c>
      <c r="E50" t="s">
        <v>38</v>
      </c>
      <c r="G50">
        <v>2</v>
      </c>
      <c r="J50" t="s">
        <v>53</v>
      </c>
    </row>
    <row r="51" spans="1:10" x14ac:dyDescent="0.25">
      <c r="A51" t="s">
        <v>35</v>
      </c>
      <c r="B51" t="s">
        <v>69</v>
      </c>
      <c r="C51" s="2" t="s">
        <v>34</v>
      </c>
      <c r="D51" t="s">
        <v>9</v>
      </c>
      <c r="E51" t="s">
        <v>38</v>
      </c>
      <c r="G51">
        <v>2</v>
      </c>
      <c r="J51" t="s">
        <v>53</v>
      </c>
    </row>
    <row r="52" spans="1:10" x14ac:dyDescent="0.25">
      <c r="A52" t="s">
        <v>35</v>
      </c>
      <c r="B52" t="s">
        <v>69</v>
      </c>
      <c r="C52" s="2" t="s">
        <v>25</v>
      </c>
      <c r="D52" t="s">
        <v>36</v>
      </c>
      <c r="E52" t="s">
        <v>38</v>
      </c>
      <c r="F52">
        <v>10000</v>
      </c>
      <c r="G52">
        <v>2</v>
      </c>
      <c r="H52">
        <v>100</v>
      </c>
      <c r="I52">
        <v>0.1</v>
      </c>
      <c r="J52" t="s">
        <v>53</v>
      </c>
    </row>
    <row r="53" spans="1:10" x14ac:dyDescent="0.25">
      <c r="A53" t="s">
        <v>35</v>
      </c>
      <c r="B53" t="s">
        <v>69</v>
      </c>
      <c r="C53" s="2" t="s">
        <v>26</v>
      </c>
      <c r="D53" t="s">
        <v>36</v>
      </c>
      <c r="E53" t="s">
        <v>38</v>
      </c>
      <c r="F53">
        <v>10000</v>
      </c>
      <c r="G53">
        <v>2</v>
      </c>
      <c r="H53">
        <v>100</v>
      </c>
      <c r="I53">
        <v>0.1</v>
      </c>
      <c r="J53" t="s">
        <v>53</v>
      </c>
    </row>
    <row r="54" spans="1:10" x14ac:dyDescent="0.25">
      <c r="A54" t="s">
        <v>35</v>
      </c>
      <c r="B54" t="s">
        <v>69</v>
      </c>
      <c r="C54" s="2" t="s">
        <v>27</v>
      </c>
      <c r="D54" t="s">
        <v>36</v>
      </c>
      <c r="E54" t="s">
        <v>38</v>
      </c>
      <c r="F54">
        <v>10000</v>
      </c>
      <c r="G54">
        <v>2</v>
      </c>
      <c r="H54">
        <v>100</v>
      </c>
      <c r="I54">
        <v>0.1</v>
      </c>
      <c r="J54" t="s">
        <v>53</v>
      </c>
    </row>
    <row r="55" spans="1:10" x14ac:dyDescent="0.25">
      <c r="A55" t="s">
        <v>35</v>
      </c>
      <c r="B55" t="s">
        <v>69</v>
      </c>
      <c r="C55" s="2" t="s">
        <v>28</v>
      </c>
      <c r="D55" t="s">
        <v>36</v>
      </c>
      <c r="E55" t="s">
        <v>38</v>
      </c>
      <c r="F55">
        <v>10000</v>
      </c>
      <c r="G55">
        <v>2</v>
      </c>
      <c r="H55">
        <v>100</v>
      </c>
      <c r="I55">
        <v>0.1</v>
      </c>
      <c r="J55" t="s">
        <v>53</v>
      </c>
    </row>
    <row r="56" spans="1:10" x14ac:dyDescent="0.25">
      <c r="A56" t="s">
        <v>35</v>
      </c>
      <c r="B56" t="s">
        <v>69</v>
      </c>
      <c r="C56" s="2" t="s">
        <v>29</v>
      </c>
      <c r="D56" t="s">
        <v>36</v>
      </c>
      <c r="E56" t="s">
        <v>38</v>
      </c>
      <c r="F56">
        <v>10000</v>
      </c>
      <c r="G56">
        <v>2</v>
      </c>
      <c r="H56">
        <v>100</v>
      </c>
      <c r="I56">
        <v>0.1</v>
      </c>
      <c r="J56" t="s">
        <v>53</v>
      </c>
    </row>
    <row r="57" spans="1:10" x14ac:dyDescent="0.25">
      <c r="A57" t="s">
        <v>35</v>
      </c>
      <c r="B57" t="s">
        <v>69</v>
      </c>
      <c r="C57" s="2" t="s">
        <v>30</v>
      </c>
      <c r="D57" t="s">
        <v>36</v>
      </c>
      <c r="E57" t="s">
        <v>38</v>
      </c>
      <c r="F57">
        <v>10000</v>
      </c>
      <c r="G57">
        <v>2</v>
      </c>
      <c r="H57">
        <v>100</v>
      </c>
      <c r="I57">
        <v>0.1</v>
      </c>
      <c r="J57" t="s">
        <v>53</v>
      </c>
    </row>
    <row r="58" spans="1:10" x14ac:dyDescent="0.25">
      <c r="A58" t="s">
        <v>35</v>
      </c>
      <c r="B58" t="s">
        <v>69</v>
      </c>
      <c r="C58" s="2" t="s">
        <v>31</v>
      </c>
      <c r="D58" t="s">
        <v>36</v>
      </c>
      <c r="E58" t="s">
        <v>38</v>
      </c>
      <c r="F58">
        <v>10000</v>
      </c>
      <c r="G58">
        <v>2</v>
      </c>
      <c r="H58">
        <v>100</v>
      </c>
      <c r="I58">
        <v>0.1</v>
      </c>
      <c r="J58" t="s">
        <v>53</v>
      </c>
    </row>
    <row r="59" spans="1:10" x14ac:dyDescent="0.25">
      <c r="A59" t="s">
        <v>35</v>
      </c>
      <c r="B59" t="s">
        <v>69</v>
      </c>
      <c r="C59" s="2" t="s">
        <v>32</v>
      </c>
      <c r="D59" t="s">
        <v>36</v>
      </c>
      <c r="E59" t="s">
        <v>38</v>
      </c>
      <c r="F59">
        <v>10000</v>
      </c>
      <c r="G59">
        <v>2</v>
      </c>
      <c r="H59">
        <v>100</v>
      </c>
      <c r="I59">
        <v>0.1</v>
      </c>
      <c r="J59" t="s">
        <v>53</v>
      </c>
    </row>
    <row r="60" spans="1:10" x14ac:dyDescent="0.25">
      <c r="A60" t="s">
        <v>35</v>
      </c>
      <c r="B60" t="s">
        <v>69</v>
      </c>
      <c r="C60" s="2" t="s">
        <v>33</v>
      </c>
      <c r="D60" t="s">
        <v>36</v>
      </c>
      <c r="E60" t="s">
        <v>38</v>
      </c>
      <c r="F60">
        <v>10000</v>
      </c>
      <c r="G60">
        <v>2</v>
      </c>
      <c r="H60">
        <v>100</v>
      </c>
      <c r="I60">
        <v>0.1</v>
      </c>
      <c r="J60" t="s">
        <v>53</v>
      </c>
    </row>
    <row r="61" spans="1:10" x14ac:dyDescent="0.25">
      <c r="A61" t="s">
        <v>35</v>
      </c>
      <c r="B61" t="s">
        <v>69</v>
      </c>
      <c r="C61" s="2" t="s">
        <v>34</v>
      </c>
      <c r="D61" t="s">
        <v>36</v>
      </c>
      <c r="E61" t="s">
        <v>38</v>
      </c>
      <c r="F61">
        <v>10000</v>
      </c>
      <c r="G61">
        <v>2</v>
      </c>
      <c r="H61">
        <v>100</v>
      </c>
      <c r="I61">
        <v>0.1</v>
      </c>
      <c r="J61" t="s">
        <v>53</v>
      </c>
    </row>
    <row r="62" spans="1:10" x14ac:dyDescent="0.25">
      <c r="A62" t="s">
        <v>35</v>
      </c>
      <c r="B62" t="s">
        <v>69</v>
      </c>
      <c r="C62" t="s">
        <v>25</v>
      </c>
      <c r="D62" t="s">
        <v>5</v>
      </c>
      <c r="E62" t="s">
        <v>52</v>
      </c>
      <c r="G62">
        <v>2</v>
      </c>
      <c r="J62" t="s">
        <v>53</v>
      </c>
    </row>
    <row r="63" spans="1:10" x14ac:dyDescent="0.25">
      <c r="A63" t="s">
        <v>35</v>
      </c>
      <c r="B63" t="s">
        <v>69</v>
      </c>
      <c r="C63" t="s">
        <v>26</v>
      </c>
      <c r="D63" t="s">
        <v>5</v>
      </c>
      <c r="E63" t="s">
        <v>52</v>
      </c>
      <c r="G63">
        <v>2</v>
      </c>
      <c r="J63" t="s">
        <v>53</v>
      </c>
    </row>
    <row r="64" spans="1:10" x14ac:dyDescent="0.25">
      <c r="A64" t="s">
        <v>35</v>
      </c>
      <c r="B64" t="s">
        <v>69</v>
      </c>
      <c r="C64" t="s">
        <v>27</v>
      </c>
      <c r="D64" t="s">
        <v>5</v>
      </c>
      <c r="E64" t="s">
        <v>52</v>
      </c>
      <c r="G64">
        <v>2</v>
      </c>
      <c r="J64" t="s">
        <v>53</v>
      </c>
    </row>
    <row r="65" spans="1:10" x14ac:dyDescent="0.25">
      <c r="A65" t="s">
        <v>35</v>
      </c>
      <c r="B65" t="s">
        <v>69</v>
      </c>
      <c r="C65" t="s">
        <v>28</v>
      </c>
      <c r="D65" t="s">
        <v>5</v>
      </c>
      <c r="E65" t="s">
        <v>52</v>
      </c>
      <c r="G65">
        <v>2</v>
      </c>
      <c r="J65" t="s">
        <v>53</v>
      </c>
    </row>
    <row r="66" spans="1:10" x14ac:dyDescent="0.25">
      <c r="A66" t="s">
        <v>35</v>
      </c>
      <c r="B66" t="s">
        <v>69</v>
      </c>
      <c r="C66" t="s">
        <v>29</v>
      </c>
      <c r="D66" t="s">
        <v>5</v>
      </c>
      <c r="E66" t="s">
        <v>52</v>
      </c>
      <c r="G66">
        <v>2</v>
      </c>
      <c r="J66" t="s">
        <v>53</v>
      </c>
    </row>
    <row r="67" spans="1:10" x14ac:dyDescent="0.25">
      <c r="A67" t="s">
        <v>35</v>
      </c>
      <c r="B67" t="s">
        <v>69</v>
      </c>
      <c r="C67" t="s">
        <v>30</v>
      </c>
      <c r="D67" t="s">
        <v>5</v>
      </c>
      <c r="E67" t="s">
        <v>52</v>
      </c>
      <c r="G67">
        <v>2</v>
      </c>
      <c r="J67" t="s">
        <v>53</v>
      </c>
    </row>
    <row r="68" spans="1:10" x14ac:dyDescent="0.25">
      <c r="A68" t="s">
        <v>35</v>
      </c>
      <c r="B68" t="s">
        <v>69</v>
      </c>
      <c r="C68" t="s">
        <v>31</v>
      </c>
      <c r="D68" t="s">
        <v>5</v>
      </c>
      <c r="E68" t="s">
        <v>52</v>
      </c>
      <c r="G68">
        <v>2</v>
      </c>
      <c r="J68" t="s">
        <v>53</v>
      </c>
    </row>
    <row r="69" spans="1:10" x14ac:dyDescent="0.25">
      <c r="A69" t="s">
        <v>35</v>
      </c>
      <c r="B69" t="s">
        <v>69</v>
      </c>
      <c r="C69" t="s">
        <v>32</v>
      </c>
      <c r="D69" t="s">
        <v>5</v>
      </c>
      <c r="E69" t="s">
        <v>52</v>
      </c>
      <c r="G69">
        <v>2</v>
      </c>
      <c r="J69" t="s">
        <v>53</v>
      </c>
    </row>
    <row r="70" spans="1:10" x14ac:dyDescent="0.25">
      <c r="A70" t="s">
        <v>35</v>
      </c>
      <c r="B70" t="s">
        <v>69</v>
      </c>
      <c r="C70" s="1" t="s">
        <v>33</v>
      </c>
      <c r="D70" t="s">
        <v>5</v>
      </c>
      <c r="E70" t="s">
        <v>52</v>
      </c>
      <c r="G70">
        <v>2</v>
      </c>
      <c r="J70" t="s">
        <v>53</v>
      </c>
    </row>
    <row r="71" spans="1:10" x14ac:dyDescent="0.25">
      <c r="A71" t="s">
        <v>35</v>
      </c>
      <c r="B71" t="s">
        <v>69</v>
      </c>
      <c r="C71" t="s">
        <v>34</v>
      </c>
      <c r="D71" t="s">
        <v>5</v>
      </c>
      <c r="E71" t="s">
        <v>52</v>
      </c>
      <c r="G71">
        <v>2</v>
      </c>
      <c r="J71" t="s">
        <v>53</v>
      </c>
    </row>
    <row r="72" spans="1:10" x14ac:dyDescent="0.25">
      <c r="A72" t="s">
        <v>35</v>
      </c>
      <c r="B72" t="s">
        <v>69</v>
      </c>
      <c r="C72" t="s">
        <v>25</v>
      </c>
      <c r="D72" t="s">
        <v>6</v>
      </c>
      <c r="E72" t="s">
        <v>52</v>
      </c>
      <c r="G72">
        <v>2</v>
      </c>
      <c r="J72" t="s">
        <v>53</v>
      </c>
    </row>
    <row r="73" spans="1:10" x14ac:dyDescent="0.25">
      <c r="A73" t="s">
        <v>35</v>
      </c>
      <c r="B73" t="s">
        <v>69</v>
      </c>
      <c r="C73" t="s">
        <v>26</v>
      </c>
      <c r="D73" t="s">
        <v>6</v>
      </c>
      <c r="E73" t="s">
        <v>52</v>
      </c>
      <c r="G73">
        <v>2</v>
      </c>
      <c r="J73" t="s">
        <v>53</v>
      </c>
    </row>
    <row r="74" spans="1:10" x14ac:dyDescent="0.25">
      <c r="A74" t="s">
        <v>35</v>
      </c>
      <c r="B74" t="s">
        <v>69</v>
      </c>
      <c r="C74" t="s">
        <v>27</v>
      </c>
      <c r="D74" t="s">
        <v>6</v>
      </c>
      <c r="E74" t="s">
        <v>52</v>
      </c>
      <c r="G74">
        <v>2</v>
      </c>
      <c r="J74" t="s">
        <v>53</v>
      </c>
    </row>
    <row r="75" spans="1:10" x14ac:dyDescent="0.25">
      <c r="A75" t="s">
        <v>35</v>
      </c>
      <c r="B75" t="s">
        <v>69</v>
      </c>
      <c r="C75" t="s">
        <v>28</v>
      </c>
      <c r="D75" t="s">
        <v>6</v>
      </c>
      <c r="E75" t="s">
        <v>52</v>
      </c>
      <c r="G75">
        <v>2</v>
      </c>
      <c r="J75" t="s">
        <v>53</v>
      </c>
    </row>
    <row r="76" spans="1:10" x14ac:dyDescent="0.25">
      <c r="A76" t="s">
        <v>35</v>
      </c>
      <c r="B76" t="s">
        <v>69</v>
      </c>
      <c r="C76" t="s">
        <v>29</v>
      </c>
      <c r="D76" t="s">
        <v>6</v>
      </c>
      <c r="E76" t="s">
        <v>52</v>
      </c>
      <c r="G76">
        <v>2</v>
      </c>
      <c r="J76" t="s">
        <v>53</v>
      </c>
    </row>
    <row r="77" spans="1:10" x14ac:dyDescent="0.25">
      <c r="A77" t="s">
        <v>35</v>
      </c>
      <c r="B77" t="s">
        <v>69</v>
      </c>
      <c r="C77" t="s">
        <v>30</v>
      </c>
      <c r="D77" t="s">
        <v>6</v>
      </c>
      <c r="E77" t="s">
        <v>52</v>
      </c>
      <c r="G77">
        <v>2</v>
      </c>
      <c r="J77" t="s">
        <v>53</v>
      </c>
    </row>
    <row r="78" spans="1:10" x14ac:dyDescent="0.25">
      <c r="A78" t="s">
        <v>35</v>
      </c>
      <c r="B78" t="s">
        <v>69</v>
      </c>
      <c r="C78" t="s">
        <v>31</v>
      </c>
      <c r="D78" t="s">
        <v>6</v>
      </c>
      <c r="E78" t="s">
        <v>52</v>
      </c>
      <c r="G78">
        <v>2</v>
      </c>
      <c r="J78" t="s">
        <v>53</v>
      </c>
    </row>
    <row r="79" spans="1:10" x14ac:dyDescent="0.25">
      <c r="A79" t="s">
        <v>35</v>
      </c>
      <c r="B79" t="s">
        <v>69</v>
      </c>
      <c r="C79" t="s">
        <v>32</v>
      </c>
      <c r="D79" t="s">
        <v>6</v>
      </c>
      <c r="E79" t="s">
        <v>52</v>
      </c>
      <c r="G79">
        <v>2</v>
      </c>
      <c r="J79" t="s">
        <v>53</v>
      </c>
    </row>
    <row r="80" spans="1:10" x14ac:dyDescent="0.25">
      <c r="A80" t="s">
        <v>35</v>
      </c>
      <c r="B80" t="s">
        <v>69</v>
      </c>
      <c r="C80" s="1" t="s">
        <v>33</v>
      </c>
      <c r="D80" t="s">
        <v>6</v>
      </c>
      <c r="E80" t="s">
        <v>52</v>
      </c>
      <c r="G80">
        <v>2</v>
      </c>
      <c r="J80" t="s">
        <v>53</v>
      </c>
    </row>
    <row r="81" spans="1:10" x14ac:dyDescent="0.25">
      <c r="A81" t="s">
        <v>35</v>
      </c>
      <c r="B81" t="s">
        <v>69</v>
      </c>
      <c r="C81" t="s">
        <v>34</v>
      </c>
      <c r="D81" t="s">
        <v>6</v>
      </c>
      <c r="E81" t="s">
        <v>52</v>
      </c>
      <c r="G81">
        <v>2</v>
      </c>
      <c r="J81" t="s">
        <v>53</v>
      </c>
    </row>
    <row r="82" spans="1:10" x14ac:dyDescent="0.25">
      <c r="A82" t="s">
        <v>35</v>
      </c>
      <c r="B82" t="s">
        <v>69</v>
      </c>
      <c r="C82" t="s">
        <v>25</v>
      </c>
      <c r="D82" t="s">
        <v>7</v>
      </c>
      <c r="E82" t="s">
        <v>52</v>
      </c>
      <c r="G82">
        <v>2</v>
      </c>
      <c r="J82" t="s">
        <v>53</v>
      </c>
    </row>
    <row r="83" spans="1:10" x14ac:dyDescent="0.25">
      <c r="A83" t="s">
        <v>35</v>
      </c>
      <c r="B83" t="s">
        <v>69</v>
      </c>
      <c r="C83" t="s">
        <v>26</v>
      </c>
      <c r="D83" t="s">
        <v>7</v>
      </c>
      <c r="E83" t="s">
        <v>52</v>
      </c>
      <c r="G83">
        <v>2</v>
      </c>
      <c r="J83" t="s">
        <v>53</v>
      </c>
    </row>
    <row r="84" spans="1:10" x14ac:dyDescent="0.25">
      <c r="A84" t="s">
        <v>35</v>
      </c>
      <c r="B84" t="s">
        <v>69</v>
      </c>
      <c r="C84" t="s">
        <v>27</v>
      </c>
      <c r="D84" t="s">
        <v>7</v>
      </c>
      <c r="E84" t="s">
        <v>52</v>
      </c>
      <c r="G84">
        <v>2</v>
      </c>
      <c r="J84" t="s">
        <v>53</v>
      </c>
    </row>
    <row r="85" spans="1:10" x14ac:dyDescent="0.25">
      <c r="A85" t="s">
        <v>35</v>
      </c>
      <c r="B85" t="s">
        <v>69</v>
      </c>
      <c r="C85" t="s">
        <v>28</v>
      </c>
      <c r="D85" t="s">
        <v>7</v>
      </c>
      <c r="E85" t="s">
        <v>52</v>
      </c>
      <c r="G85">
        <v>2</v>
      </c>
      <c r="J85" t="s">
        <v>53</v>
      </c>
    </row>
    <row r="86" spans="1:10" x14ac:dyDescent="0.25">
      <c r="A86" t="s">
        <v>35</v>
      </c>
      <c r="B86" t="s">
        <v>69</v>
      </c>
      <c r="C86" t="s">
        <v>29</v>
      </c>
      <c r="D86" t="s">
        <v>7</v>
      </c>
      <c r="E86" t="s">
        <v>52</v>
      </c>
      <c r="G86">
        <v>2</v>
      </c>
      <c r="J86" t="s">
        <v>53</v>
      </c>
    </row>
    <row r="87" spans="1:10" x14ac:dyDescent="0.25">
      <c r="A87" t="s">
        <v>35</v>
      </c>
      <c r="B87" t="s">
        <v>69</v>
      </c>
      <c r="C87" t="s">
        <v>30</v>
      </c>
      <c r="D87" t="s">
        <v>7</v>
      </c>
      <c r="E87" t="s">
        <v>52</v>
      </c>
      <c r="G87">
        <v>2</v>
      </c>
      <c r="J87" t="s">
        <v>53</v>
      </c>
    </row>
    <row r="88" spans="1:10" x14ac:dyDescent="0.25">
      <c r="A88" t="s">
        <v>35</v>
      </c>
      <c r="B88" t="s">
        <v>69</v>
      </c>
      <c r="C88" t="s">
        <v>31</v>
      </c>
      <c r="D88" t="s">
        <v>7</v>
      </c>
      <c r="E88" t="s">
        <v>52</v>
      </c>
      <c r="G88">
        <v>2</v>
      </c>
      <c r="J88" t="s">
        <v>53</v>
      </c>
    </row>
    <row r="89" spans="1:10" x14ac:dyDescent="0.25">
      <c r="A89" t="s">
        <v>35</v>
      </c>
      <c r="B89" t="s">
        <v>69</v>
      </c>
      <c r="C89" t="s">
        <v>32</v>
      </c>
      <c r="D89" t="s">
        <v>7</v>
      </c>
      <c r="E89" t="s">
        <v>52</v>
      </c>
      <c r="G89">
        <v>2</v>
      </c>
      <c r="J89" t="s">
        <v>53</v>
      </c>
    </row>
    <row r="90" spans="1:10" x14ac:dyDescent="0.25">
      <c r="A90" t="s">
        <v>35</v>
      </c>
      <c r="B90" t="s">
        <v>69</v>
      </c>
      <c r="C90" s="1" t="s">
        <v>33</v>
      </c>
      <c r="D90" t="s">
        <v>7</v>
      </c>
      <c r="E90" t="s">
        <v>52</v>
      </c>
      <c r="G90">
        <v>2</v>
      </c>
      <c r="J90" t="s">
        <v>53</v>
      </c>
    </row>
    <row r="91" spans="1:10" x14ac:dyDescent="0.25">
      <c r="A91" t="s">
        <v>35</v>
      </c>
      <c r="B91" t="s">
        <v>69</v>
      </c>
      <c r="C91" t="s">
        <v>34</v>
      </c>
      <c r="D91" t="s">
        <v>7</v>
      </c>
      <c r="E91" t="s">
        <v>52</v>
      </c>
      <c r="G91">
        <v>2</v>
      </c>
      <c r="J91" t="s">
        <v>53</v>
      </c>
    </row>
    <row r="92" spans="1:10" x14ac:dyDescent="0.25">
      <c r="A92" t="s">
        <v>35</v>
      </c>
      <c r="B92" t="s">
        <v>69</v>
      </c>
      <c r="C92" s="2" t="s">
        <v>25</v>
      </c>
      <c r="D92" t="s">
        <v>8</v>
      </c>
      <c r="E92" t="s">
        <v>52</v>
      </c>
      <c r="G92">
        <v>2</v>
      </c>
      <c r="J92" t="s">
        <v>53</v>
      </c>
    </row>
    <row r="93" spans="1:10" x14ac:dyDescent="0.25">
      <c r="A93" t="s">
        <v>35</v>
      </c>
      <c r="B93" t="s">
        <v>69</v>
      </c>
      <c r="C93" s="2" t="s">
        <v>26</v>
      </c>
      <c r="D93" t="s">
        <v>8</v>
      </c>
      <c r="E93" t="s">
        <v>52</v>
      </c>
      <c r="G93">
        <v>2</v>
      </c>
      <c r="J93" t="s">
        <v>53</v>
      </c>
    </row>
    <row r="94" spans="1:10" x14ac:dyDescent="0.25">
      <c r="A94" t="s">
        <v>35</v>
      </c>
      <c r="B94" t="s">
        <v>69</v>
      </c>
      <c r="C94" s="2" t="s">
        <v>27</v>
      </c>
      <c r="D94" t="s">
        <v>8</v>
      </c>
      <c r="E94" t="s">
        <v>52</v>
      </c>
      <c r="G94">
        <v>2</v>
      </c>
      <c r="J94" t="s">
        <v>53</v>
      </c>
    </row>
    <row r="95" spans="1:10" x14ac:dyDescent="0.25">
      <c r="A95" t="s">
        <v>35</v>
      </c>
      <c r="B95" t="s">
        <v>69</v>
      </c>
      <c r="C95" s="2" t="s">
        <v>28</v>
      </c>
      <c r="D95" t="s">
        <v>8</v>
      </c>
      <c r="E95" t="s">
        <v>52</v>
      </c>
      <c r="G95">
        <v>2</v>
      </c>
      <c r="J95" t="s">
        <v>53</v>
      </c>
    </row>
    <row r="96" spans="1:10" x14ac:dyDescent="0.25">
      <c r="A96" t="s">
        <v>35</v>
      </c>
      <c r="B96" t="s">
        <v>69</v>
      </c>
      <c r="C96" s="2" t="s">
        <v>29</v>
      </c>
      <c r="D96" t="s">
        <v>8</v>
      </c>
      <c r="E96" t="s">
        <v>52</v>
      </c>
      <c r="G96">
        <v>2</v>
      </c>
      <c r="J96" t="s">
        <v>53</v>
      </c>
    </row>
    <row r="97" spans="1:10" x14ac:dyDescent="0.25">
      <c r="A97" t="s">
        <v>35</v>
      </c>
      <c r="B97" t="s">
        <v>69</v>
      </c>
      <c r="C97" s="2" t="s">
        <v>30</v>
      </c>
      <c r="D97" t="s">
        <v>8</v>
      </c>
      <c r="E97" t="s">
        <v>52</v>
      </c>
      <c r="G97">
        <v>2</v>
      </c>
      <c r="J97" t="s">
        <v>53</v>
      </c>
    </row>
    <row r="98" spans="1:10" x14ac:dyDescent="0.25">
      <c r="A98" t="s">
        <v>35</v>
      </c>
      <c r="B98" t="s">
        <v>69</v>
      </c>
      <c r="C98" s="2" t="s">
        <v>31</v>
      </c>
      <c r="D98" t="s">
        <v>8</v>
      </c>
      <c r="E98" t="s">
        <v>52</v>
      </c>
      <c r="G98">
        <v>2</v>
      </c>
      <c r="J98" t="s">
        <v>53</v>
      </c>
    </row>
    <row r="99" spans="1:10" x14ac:dyDescent="0.25">
      <c r="A99" t="s">
        <v>35</v>
      </c>
      <c r="B99" t="s">
        <v>69</v>
      </c>
      <c r="C99" s="2" t="s">
        <v>32</v>
      </c>
      <c r="D99" t="s">
        <v>8</v>
      </c>
      <c r="E99" t="s">
        <v>52</v>
      </c>
      <c r="G99">
        <v>2</v>
      </c>
      <c r="J99" t="s">
        <v>53</v>
      </c>
    </row>
    <row r="100" spans="1:10" x14ac:dyDescent="0.25">
      <c r="A100" t="s">
        <v>35</v>
      </c>
      <c r="B100" t="s">
        <v>69</v>
      </c>
      <c r="C100" s="2" t="s">
        <v>33</v>
      </c>
      <c r="D100" t="s">
        <v>8</v>
      </c>
      <c r="E100" t="s">
        <v>52</v>
      </c>
      <c r="G100">
        <v>2</v>
      </c>
      <c r="J100" t="s">
        <v>53</v>
      </c>
    </row>
    <row r="101" spans="1:10" x14ac:dyDescent="0.25">
      <c r="A101" t="s">
        <v>35</v>
      </c>
      <c r="B101" t="s">
        <v>69</v>
      </c>
      <c r="C101" s="2" t="s">
        <v>34</v>
      </c>
      <c r="D101" t="s">
        <v>8</v>
      </c>
      <c r="E101" t="s">
        <v>52</v>
      </c>
      <c r="G101">
        <v>2</v>
      </c>
      <c r="J101" t="s">
        <v>53</v>
      </c>
    </row>
    <row r="102" spans="1:10" x14ac:dyDescent="0.25">
      <c r="A102" t="s">
        <v>35</v>
      </c>
      <c r="B102" t="s">
        <v>69</v>
      </c>
      <c r="C102" s="2" t="s">
        <v>25</v>
      </c>
      <c r="D102" t="s">
        <v>9</v>
      </c>
      <c r="E102" t="s">
        <v>52</v>
      </c>
      <c r="G102">
        <v>2</v>
      </c>
      <c r="J102" t="s">
        <v>53</v>
      </c>
    </row>
    <row r="103" spans="1:10" x14ac:dyDescent="0.25">
      <c r="A103" t="s">
        <v>35</v>
      </c>
      <c r="B103" t="s">
        <v>69</v>
      </c>
      <c r="C103" s="2" t="s">
        <v>26</v>
      </c>
      <c r="D103" t="s">
        <v>9</v>
      </c>
      <c r="E103" t="s">
        <v>52</v>
      </c>
      <c r="G103">
        <v>2</v>
      </c>
      <c r="J103" t="s">
        <v>53</v>
      </c>
    </row>
    <row r="104" spans="1:10" x14ac:dyDescent="0.25">
      <c r="A104" t="s">
        <v>35</v>
      </c>
      <c r="B104" t="s">
        <v>69</v>
      </c>
      <c r="C104" s="2" t="s">
        <v>27</v>
      </c>
      <c r="D104" t="s">
        <v>9</v>
      </c>
      <c r="E104" t="s">
        <v>52</v>
      </c>
      <c r="G104">
        <v>2</v>
      </c>
      <c r="J104" t="s">
        <v>53</v>
      </c>
    </row>
    <row r="105" spans="1:10" x14ac:dyDescent="0.25">
      <c r="A105" t="s">
        <v>35</v>
      </c>
      <c r="B105" t="s">
        <v>69</v>
      </c>
      <c r="C105" s="2" t="s">
        <v>28</v>
      </c>
      <c r="D105" t="s">
        <v>9</v>
      </c>
      <c r="E105" t="s">
        <v>52</v>
      </c>
      <c r="G105">
        <v>2</v>
      </c>
      <c r="J105" t="s">
        <v>53</v>
      </c>
    </row>
    <row r="106" spans="1:10" x14ac:dyDescent="0.25">
      <c r="A106" t="s">
        <v>35</v>
      </c>
      <c r="B106" t="s">
        <v>69</v>
      </c>
      <c r="C106" s="2" t="s">
        <v>29</v>
      </c>
      <c r="D106" t="s">
        <v>9</v>
      </c>
      <c r="E106" t="s">
        <v>52</v>
      </c>
      <c r="G106">
        <v>2</v>
      </c>
      <c r="J106" t="s">
        <v>53</v>
      </c>
    </row>
    <row r="107" spans="1:10" x14ac:dyDescent="0.25">
      <c r="A107" t="s">
        <v>35</v>
      </c>
      <c r="B107" t="s">
        <v>69</v>
      </c>
      <c r="C107" s="2" t="s">
        <v>30</v>
      </c>
      <c r="D107" t="s">
        <v>9</v>
      </c>
      <c r="E107" t="s">
        <v>52</v>
      </c>
      <c r="G107">
        <v>2</v>
      </c>
      <c r="J107" t="s">
        <v>53</v>
      </c>
    </row>
    <row r="108" spans="1:10" x14ac:dyDescent="0.25">
      <c r="A108" t="s">
        <v>35</v>
      </c>
      <c r="B108" t="s">
        <v>69</v>
      </c>
      <c r="C108" s="2" t="s">
        <v>31</v>
      </c>
      <c r="D108" t="s">
        <v>9</v>
      </c>
      <c r="E108" t="s">
        <v>52</v>
      </c>
      <c r="G108">
        <v>2</v>
      </c>
      <c r="J108" t="s">
        <v>53</v>
      </c>
    </row>
    <row r="109" spans="1:10" x14ac:dyDescent="0.25">
      <c r="A109" t="s">
        <v>35</v>
      </c>
      <c r="B109" t="s">
        <v>69</v>
      </c>
      <c r="C109" s="2" t="s">
        <v>32</v>
      </c>
      <c r="D109" t="s">
        <v>9</v>
      </c>
      <c r="E109" t="s">
        <v>52</v>
      </c>
      <c r="G109">
        <v>2</v>
      </c>
      <c r="J109" t="s">
        <v>53</v>
      </c>
    </row>
    <row r="110" spans="1:10" x14ac:dyDescent="0.25">
      <c r="A110" t="s">
        <v>35</v>
      </c>
      <c r="B110" t="s">
        <v>69</v>
      </c>
      <c r="C110" s="2" t="s">
        <v>33</v>
      </c>
      <c r="D110" t="s">
        <v>9</v>
      </c>
      <c r="E110" t="s">
        <v>52</v>
      </c>
      <c r="G110">
        <v>2</v>
      </c>
      <c r="J110" t="s">
        <v>53</v>
      </c>
    </row>
    <row r="111" spans="1:10" x14ac:dyDescent="0.25">
      <c r="A111" t="s">
        <v>35</v>
      </c>
      <c r="B111" t="s">
        <v>69</v>
      </c>
      <c r="C111" s="2" t="s">
        <v>34</v>
      </c>
      <c r="D111" t="s">
        <v>9</v>
      </c>
      <c r="E111" t="s">
        <v>52</v>
      </c>
      <c r="G111">
        <v>2</v>
      </c>
      <c r="J111" t="s">
        <v>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B665B-2BF0-E545-9902-1A357A8FEFA1}">
  <dimension ref="A1:K111"/>
  <sheetViews>
    <sheetView workbookViewId="0">
      <selection activeCell="H60" sqref="H60"/>
    </sheetView>
  </sheetViews>
  <sheetFormatPr defaultColWidth="11" defaultRowHeight="15.75" x14ac:dyDescent="0.25"/>
  <cols>
    <col min="3" max="3" width="17.125" bestFit="1" customWidth="1"/>
    <col min="4" max="4" width="14.5" bestFit="1" customWidth="1"/>
  </cols>
  <sheetData>
    <row r="1" spans="1:11" x14ac:dyDescent="0.25">
      <c r="A1" t="s">
        <v>0</v>
      </c>
      <c r="B1" t="s">
        <v>39</v>
      </c>
      <c r="C1" t="s">
        <v>1</v>
      </c>
      <c r="D1" t="s">
        <v>3</v>
      </c>
      <c r="E1" t="s">
        <v>37</v>
      </c>
      <c r="F1" t="s">
        <v>40</v>
      </c>
      <c r="G1" t="s">
        <v>41</v>
      </c>
      <c r="H1" t="s">
        <v>56</v>
      </c>
      <c r="I1" t="s">
        <v>57</v>
      </c>
      <c r="J1" t="s">
        <v>58</v>
      </c>
      <c r="K1" t="s">
        <v>2</v>
      </c>
    </row>
    <row r="2" spans="1:11" x14ac:dyDescent="0.25">
      <c r="A2" t="s">
        <v>35</v>
      </c>
      <c r="B2" t="s">
        <v>70</v>
      </c>
      <c r="C2" t="s">
        <v>25</v>
      </c>
      <c r="D2" t="s">
        <v>5</v>
      </c>
      <c r="E2" t="s">
        <v>38</v>
      </c>
      <c r="K2" t="s">
        <v>53</v>
      </c>
    </row>
    <row r="3" spans="1:11" x14ac:dyDescent="0.25">
      <c r="A3" t="s">
        <v>35</v>
      </c>
      <c r="B3" t="s">
        <v>70</v>
      </c>
      <c r="C3" t="s">
        <v>26</v>
      </c>
      <c r="D3" t="s">
        <v>5</v>
      </c>
      <c r="E3" t="s">
        <v>38</v>
      </c>
      <c r="K3" t="s">
        <v>53</v>
      </c>
    </row>
    <row r="4" spans="1:11" x14ac:dyDescent="0.25">
      <c r="A4" t="s">
        <v>35</v>
      </c>
      <c r="B4" t="s">
        <v>70</v>
      </c>
      <c r="C4" t="s">
        <v>27</v>
      </c>
      <c r="D4" t="s">
        <v>5</v>
      </c>
      <c r="E4" t="s">
        <v>38</v>
      </c>
      <c r="K4" t="s">
        <v>53</v>
      </c>
    </row>
    <row r="5" spans="1:11" x14ac:dyDescent="0.25">
      <c r="A5" t="s">
        <v>35</v>
      </c>
      <c r="B5" t="s">
        <v>70</v>
      </c>
      <c r="C5" t="s">
        <v>28</v>
      </c>
      <c r="D5" t="s">
        <v>5</v>
      </c>
      <c r="E5" t="s">
        <v>38</v>
      </c>
      <c r="K5" t="s">
        <v>53</v>
      </c>
    </row>
    <row r="6" spans="1:11" x14ac:dyDescent="0.25">
      <c r="A6" t="s">
        <v>35</v>
      </c>
      <c r="B6" t="s">
        <v>70</v>
      </c>
      <c r="C6" t="s">
        <v>29</v>
      </c>
      <c r="D6" t="s">
        <v>5</v>
      </c>
      <c r="E6" t="s">
        <v>38</v>
      </c>
      <c r="K6" t="s">
        <v>53</v>
      </c>
    </row>
    <row r="7" spans="1:11" x14ac:dyDescent="0.25">
      <c r="A7" t="s">
        <v>35</v>
      </c>
      <c r="B7" t="s">
        <v>70</v>
      </c>
      <c r="C7" t="s">
        <v>30</v>
      </c>
      <c r="D7" t="s">
        <v>5</v>
      </c>
      <c r="E7" t="s">
        <v>38</v>
      </c>
      <c r="K7" t="s">
        <v>53</v>
      </c>
    </row>
    <row r="8" spans="1:11" x14ac:dyDescent="0.25">
      <c r="A8" t="s">
        <v>35</v>
      </c>
      <c r="B8" t="s">
        <v>70</v>
      </c>
      <c r="C8" t="s">
        <v>31</v>
      </c>
      <c r="D8" t="s">
        <v>5</v>
      </c>
      <c r="E8" t="s">
        <v>38</v>
      </c>
      <c r="K8" t="s">
        <v>53</v>
      </c>
    </row>
    <row r="9" spans="1:11" x14ac:dyDescent="0.25">
      <c r="A9" t="s">
        <v>35</v>
      </c>
      <c r="B9" t="s">
        <v>70</v>
      </c>
      <c r="C9" t="s">
        <v>32</v>
      </c>
      <c r="D9" t="s">
        <v>5</v>
      </c>
      <c r="E9" t="s">
        <v>38</v>
      </c>
      <c r="K9" t="s">
        <v>53</v>
      </c>
    </row>
    <row r="10" spans="1:11" x14ac:dyDescent="0.25">
      <c r="A10" t="s">
        <v>35</v>
      </c>
      <c r="B10" t="s">
        <v>70</v>
      </c>
      <c r="C10" s="1" t="s">
        <v>33</v>
      </c>
      <c r="D10" t="s">
        <v>5</v>
      </c>
      <c r="E10" t="s">
        <v>38</v>
      </c>
      <c r="K10" t="s">
        <v>53</v>
      </c>
    </row>
    <row r="11" spans="1:11" x14ac:dyDescent="0.25">
      <c r="A11" t="s">
        <v>35</v>
      </c>
      <c r="B11" t="s">
        <v>70</v>
      </c>
      <c r="C11" t="s">
        <v>34</v>
      </c>
      <c r="D11" t="s">
        <v>5</v>
      </c>
      <c r="E11" t="s">
        <v>38</v>
      </c>
      <c r="K11" t="s">
        <v>53</v>
      </c>
    </row>
    <row r="12" spans="1:11" x14ac:dyDescent="0.25">
      <c r="A12" t="s">
        <v>35</v>
      </c>
      <c r="B12" t="s">
        <v>70</v>
      </c>
      <c r="C12" t="s">
        <v>25</v>
      </c>
      <c r="D12" t="s">
        <v>6</v>
      </c>
      <c r="E12" t="s">
        <v>38</v>
      </c>
      <c r="K12" t="s">
        <v>53</v>
      </c>
    </row>
    <row r="13" spans="1:11" x14ac:dyDescent="0.25">
      <c r="A13" t="s">
        <v>35</v>
      </c>
      <c r="B13" t="s">
        <v>70</v>
      </c>
      <c r="C13" t="s">
        <v>26</v>
      </c>
      <c r="D13" t="s">
        <v>6</v>
      </c>
      <c r="E13" t="s">
        <v>38</v>
      </c>
      <c r="K13" t="s">
        <v>53</v>
      </c>
    </row>
    <row r="14" spans="1:11" x14ac:dyDescent="0.25">
      <c r="A14" t="s">
        <v>35</v>
      </c>
      <c r="B14" t="s">
        <v>70</v>
      </c>
      <c r="C14" t="s">
        <v>27</v>
      </c>
      <c r="D14" t="s">
        <v>6</v>
      </c>
      <c r="E14" t="s">
        <v>38</v>
      </c>
      <c r="K14" t="s">
        <v>53</v>
      </c>
    </row>
    <row r="15" spans="1:11" x14ac:dyDescent="0.25">
      <c r="A15" t="s">
        <v>35</v>
      </c>
      <c r="B15" t="s">
        <v>70</v>
      </c>
      <c r="C15" t="s">
        <v>28</v>
      </c>
      <c r="D15" t="s">
        <v>6</v>
      </c>
      <c r="E15" t="s">
        <v>38</v>
      </c>
      <c r="K15" t="s">
        <v>53</v>
      </c>
    </row>
    <row r="16" spans="1:11" x14ac:dyDescent="0.25">
      <c r="A16" t="s">
        <v>35</v>
      </c>
      <c r="B16" t="s">
        <v>70</v>
      </c>
      <c r="C16" t="s">
        <v>29</v>
      </c>
      <c r="D16" t="s">
        <v>6</v>
      </c>
      <c r="E16" t="s">
        <v>38</v>
      </c>
      <c r="K16" t="s">
        <v>53</v>
      </c>
    </row>
    <row r="17" spans="1:11" x14ac:dyDescent="0.25">
      <c r="A17" t="s">
        <v>35</v>
      </c>
      <c r="B17" t="s">
        <v>70</v>
      </c>
      <c r="C17" t="s">
        <v>30</v>
      </c>
      <c r="D17" t="s">
        <v>6</v>
      </c>
      <c r="E17" t="s">
        <v>38</v>
      </c>
      <c r="K17" t="s">
        <v>53</v>
      </c>
    </row>
    <row r="18" spans="1:11" x14ac:dyDescent="0.25">
      <c r="A18" t="s">
        <v>35</v>
      </c>
      <c r="B18" t="s">
        <v>70</v>
      </c>
      <c r="C18" t="s">
        <v>31</v>
      </c>
      <c r="D18" t="s">
        <v>6</v>
      </c>
      <c r="E18" t="s">
        <v>38</v>
      </c>
      <c r="K18" t="s">
        <v>53</v>
      </c>
    </row>
    <row r="19" spans="1:11" x14ac:dyDescent="0.25">
      <c r="A19" t="s">
        <v>35</v>
      </c>
      <c r="B19" t="s">
        <v>70</v>
      </c>
      <c r="C19" t="s">
        <v>32</v>
      </c>
      <c r="D19" t="s">
        <v>6</v>
      </c>
      <c r="E19" t="s">
        <v>38</v>
      </c>
      <c r="K19" t="s">
        <v>53</v>
      </c>
    </row>
    <row r="20" spans="1:11" x14ac:dyDescent="0.25">
      <c r="A20" t="s">
        <v>35</v>
      </c>
      <c r="B20" t="s">
        <v>70</v>
      </c>
      <c r="C20" s="1" t="s">
        <v>33</v>
      </c>
      <c r="D20" t="s">
        <v>6</v>
      </c>
      <c r="E20" t="s">
        <v>38</v>
      </c>
      <c r="K20" t="s">
        <v>53</v>
      </c>
    </row>
    <row r="21" spans="1:11" x14ac:dyDescent="0.25">
      <c r="A21" t="s">
        <v>35</v>
      </c>
      <c r="B21" t="s">
        <v>70</v>
      </c>
      <c r="C21" t="s">
        <v>34</v>
      </c>
      <c r="D21" t="s">
        <v>6</v>
      </c>
      <c r="E21" t="s">
        <v>38</v>
      </c>
      <c r="K21" t="s">
        <v>53</v>
      </c>
    </row>
    <row r="22" spans="1:11" x14ac:dyDescent="0.25">
      <c r="A22" t="s">
        <v>35</v>
      </c>
      <c r="B22" t="s">
        <v>70</v>
      </c>
      <c r="C22" t="s">
        <v>25</v>
      </c>
      <c r="D22" t="s">
        <v>7</v>
      </c>
      <c r="E22" t="s">
        <v>38</v>
      </c>
      <c r="K22" t="s">
        <v>53</v>
      </c>
    </row>
    <row r="23" spans="1:11" x14ac:dyDescent="0.25">
      <c r="A23" t="s">
        <v>35</v>
      </c>
      <c r="B23" t="s">
        <v>70</v>
      </c>
      <c r="C23" t="s">
        <v>26</v>
      </c>
      <c r="D23" t="s">
        <v>7</v>
      </c>
      <c r="E23" t="s">
        <v>38</v>
      </c>
      <c r="K23" t="s">
        <v>53</v>
      </c>
    </row>
    <row r="24" spans="1:11" x14ac:dyDescent="0.25">
      <c r="A24" t="s">
        <v>35</v>
      </c>
      <c r="B24" t="s">
        <v>70</v>
      </c>
      <c r="C24" t="s">
        <v>27</v>
      </c>
      <c r="D24" t="s">
        <v>7</v>
      </c>
      <c r="E24" t="s">
        <v>38</v>
      </c>
      <c r="K24" t="s">
        <v>53</v>
      </c>
    </row>
    <row r="25" spans="1:11" x14ac:dyDescent="0.25">
      <c r="A25" t="s">
        <v>35</v>
      </c>
      <c r="B25" t="s">
        <v>70</v>
      </c>
      <c r="C25" t="s">
        <v>28</v>
      </c>
      <c r="D25" t="s">
        <v>7</v>
      </c>
      <c r="E25" t="s">
        <v>38</v>
      </c>
      <c r="K25" t="s">
        <v>53</v>
      </c>
    </row>
    <row r="26" spans="1:11" x14ac:dyDescent="0.25">
      <c r="A26" t="s">
        <v>35</v>
      </c>
      <c r="B26" t="s">
        <v>70</v>
      </c>
      <c r="C26" t="s">
        <v>29</v>
      </c>
      <c r="D26" t="s">
        <v>7</v>
      </c>
      <c r="E26" t="s">
        <v>38</v>
      </c>
      <c r="K26" t="s">
        <v>53</v>
      </c>
    </row>
    <row r="27" spans="1:11" x14ac:dyDescent="0.25">
      <c r="A27" t="s">
        <v>35</v>
      </c>
      <c r="B27" t="s">
        <v>70</v>
      </c>
      <c r="C27" t="s">
        <v>30</v>
      </c>
      <c r="D27" t="s">
        <v>7</v>
      </c>
      <c r="E27" t="s">
        <v>38</v>
      </c>
      <c r="K27" t="s">
        <v>53</v>
      </c>
    </row>
    <row r="28" spans="1:11" x14ac:dyDescent="0.25">
      <c r="A28" t="s">
        <v>35</v>
      </c>
      <c r="B28" t="s">
        <v>70</v>
      </c>
      <c r="C28" t="s">
        <v>31</v>
      </c>
      <c r="D28" t="s">
        <v>7</v>
      </c>
      <c r="E28" t="s">
        <v>38</v>
      </c>
      <c r="K28" t="s">
        <v>53</v>
      </c>
    </row>
    <row r="29" spans="1:11" x14ac:dyDescent="0.25">
      <c r="A29" t="s">
        <v>35</v>
      </c>
      <c r="B29" t="s">
        <v>70</v>
      </c>
      <c r="C29" t="s">
        <v>32</v>
      </c>
      <c r="D29" t="s">
        <v>7</v>
      </c>
      <c r="E29" t="s">
        <v>38</v>
      </c>
      <c r="K29" t="s">
        <v>53</v>
      </c>
    </row>
    <row r="30" spans="1:11" x14ac:dyDescent="0.25">
      <c r="A30" t="s">
        <v>35</v>
      </c>
      <c r="B30" t="s">
        <v>70</v>
      </c>
      <c r="C30" s="1" t="s">
        <v>33</v>
      </c>
      <c r="D30" t="s">
        <v>7</v>
      </c>
      <c r="E30" t="s">
        <v>38</v>
      </c>
      <c r="K30" t="s">
        <v>53</v>
      </c>
    </row>
    <row r="31" spans="1:11" x14ac:dyDescent="0.25">
      <c r="A31" t="s">
        <v>35</v>
      </c>
      <c r="B31" t="s">
        <v>70</v>
      </c>
      <c r="C31" t="s">
        <v>34</v>
      </c>
      <c r="D31" t="s">
        <v>7</v>
      </c>
      <c r="E31" t="s">
        <v>38</v>
      </c>
      <c r="K31" t="s">
        <v>53</v>
      </c>
    </row>
    <row r="32" spans="1:11" x14ac:dyDescent="0.25">
      <c r="A32" t="s">
        <v>35</v>
      </c>
      <c r="B32" t="s">
        <v>70</v>
      </c>
      <c r="C32" s="2" t="s">
        <v>25</v>
      </c>
      <c r="D32" t="s">
        <v>8</v>
      </c>
      <c r="E32" t="s">
        <v>38</v>
      </c>
      <c r="K32" t="s">
        <v>53</v>
      </c>
    </row>
    <row r="33" spans="1:11" x14ac:dyDescent="0.25">
      <c r="A33" t="s">
        <v>35</v>
      </c>
      <c r="B33" t="s">
        <v>70</v>
      </c>
      <c r="C33" s="2" t="s">
        <v>26</v>
      </c>
      <c r="D33" t="s">
        <v>8</v>
      </c>
      <c r="E33" t="s">
        <v>38</v>
      </c>
      <c r="K33" t="s">
        <v>53</v>
      </c>
    </row>
    <row r="34" spans="1:11" x14ac:dyDescent="0.25">
      <c r="A34" t="s">
        <v>35</v>
      </c>
      <c r="B34" t="s">
        <v>70</v>
      </c>
      <c r="C34" s="2" t="s">
        <v>27</v>
      </c>
      <c r="D34" t="s">
        <v>8</v>
      </c>
      <c r="E34" t="s">
        <v>38</v>
      </c>
      <c r="K34" t="s">
        <v>53</v>
      </c>
    </row>
    <row r="35" spans="1:11" x14ac:dyDescent="0.25">
      <c r="A35" t="s">
        <v>35</v>
      </c>
      <c r="B35" t="s">
        <v>70</v>
      </c>
      <c r="C35" s="2" t="s">
        <v>28</v>
      </c>
      <c r="D35" t="s">
        <v>8</v>
      </c>
      <c r="E35" t="s">
        <v>38</v>
      </c>
      <c r="K35" t="s">
        <v>53</v>
      </c>
    </row>
    <row r="36" spans="1:11" x14ac:dyDescent="0.25">
      <c r="A36" t="s">
        <v>35</v>
      </c>
      <c r="B36" t="s">
        <v>70</v>
      </c>
      <c r="C36" s="2" t="s">
        <v>29</v>
      </c>
      <c r="D36" t="s">
        <v>8</v>
      </c>
      <c r="E36" t="s">
        <v>38</v>
      </c>
      <c r="K36" t="s">
        <v>53</v>
      </c>
    </row>
    <row r="37" spans="1:11" x14ac:dyDescent="0.25">
      <c r="A37" t="s">
        <v>35</v>
      </c>
      <c r="B37" t="s">
        <v>70</v>
      </c>
      <c r="C37" s="2" t="s">
        <v>30</v>
      </c>
      <c r="D37" t="s">
        <v>8</v>
      </c>
      <c r="E37" t="s">
        <v>38</v>
      </c>
      <c r="K37" t="s">
        <v>53</v>
      </c>
    </row>
    <row r="38" spans="1:11" x14ac:dyDescent="0.25">
      <c r="A38" t="s">
        <v>35</v>
      </c>
      <c r="B38" t="s">
        <v>70</v>
      </c>
      <c r="C38" s="2" t="s">
        <v>31</v>
      </c>
      <c r="D38" t="s">
        <v>8</v>
      </c>
      <c r="E38" t="s">
        <v>38</v>
      </c>
      <c r="K38" t="s">
        <v>53</v>
      </c>
    </row>
    <row r="39" spans="1:11" x14ac:dyDescent="0.25">
      <c r="A39" t="s">
        <v>35</v>
      </c>
      <c r="B39" t="s">
        <v>70</v>
      </c>
      <c r="C39" s="2" t="s">
        <v>32</v>
      </c>
      <c r="D39" t="s">
        <v>8</v>
      </c>
      <c r="E39" t="s">
        <v>38</v>
      </c>
      <c r="K39" t="s">
        <v>53</v>
      </c>
    </row>
    <row r="40" spans="1:11" x14ac:dyDescent="0.25">
      <c r="A40" t="s">
        <v>35</v>
      </c>
      <c r="B40" t="s">
        <v>70</v>
      </c>
      <c r="C40" s="2" t="s">
        <v>33</v>
      </c>
      <c r="D40" t="s">
        <v>8</v>
      </c>
      <c r="E40" t="s">
        <v>38</v>
      </c>
      <c r="K40" t="s">
        <v>53</v>
      </c>
    </row>
    <row r="41" spans="1:11" x14ac:dyDescent="0.25">
      <c r="A41" t="s">
        <v>35</v>
      </c>
      <c r="B41" t="s">
        <v>70</v>
      </c>
      <c r="C41" s="2" t="s">
        <v>34</v>
      </c>
      <c r="D41" t="s">
        <v>8</v>
      </c>
      <c r="E41" t="s">
        <v>38</v>
      </c>
      <c r="K41" t="s">
        <v>53</v>
      </c>
    </row>
    <row r="42" spans="1:11" x14ac:dyDescent="0.25">
      <c r="A42" t="s">
        <v>35</v>
      </c>
      <c r="B42" t="s">
        <v>70</v>
      </c>
      <c r="C42" s="2" t="s">
        <v>25</v>
      </c>
      <c r="D42" t="s">
        <v>9</v>
      </c>
      <c r="E42" t="s">
        <v>38</v>
      </c>
      <c r="K42" t="s">
        <v>53</v>
      </c>
    </row>
    <row r="43" spans="1:11" x14ac:dyDescent="0.25">
      <c r="A43" t="s">
        <v>35</v>
      </c>
      <c r="B43" t="s">
        <v>70</v>
      </c>
      <c r="C43" s="2" t="s">
        <v>26</v>
      </c>
      <c r="D43" t="s">
        <v>9</v>
      </c>
      <c r="E43" t="s">
        <v>38</v>
      </c>
      <c r="K43" t="s">
        <v>53</v>
      </c>
    </row>
    <row r="44" spans="1:11" x14ac:dyDescent="0.25">
      <c r="A44" t="s">
        <v>35</v>
      </c>
      <c r="B44" t="s">
        <v>70</v>
      </c>
      <c r="C44" s="2" t="s">
        <v>27</v>
      </c>
      <c r="D44" t="s">
        <v>9</v>
      </c>
      <c r="E44" t="s">
        <v>38</v>
      </c>
      <c r="K44" t="s">
        <v>53</v>
      </c>
    </row>
    <row r="45" spans="1:11" x14ac:dyDescent="0.25">
      <c r="A45" t="s">
        <v>35</v>
      </c>
      <c r="B45" t="s">
        <v>70</v>
      </c>
      <c r="C45" s="2" t="s">
        <v>28</v>
      </c>
      <c r="D45" t="s">
        <v>9</v>
      </c>
      <c r="E45" t="s">
        <v>38</v>
      </c>
      <c r="K45" t="s">
        <v>53</v>
      </c>
    </row>
    <row r="46" spans="1:11" x14ac:dyDescent="0.25">
      <c r="A46" t="s">
        <v>35</v>
      </c>
      <c r="B46" t="s">
        <v>70</v>
      </c>
      <c r="C46" s="2" t="s">
        <v>29</v>
      </c>
      <c r="D46" t="s">
        <v>9</v>
      </c>
      <c r="E46" t="s">
        <v>38</v>
      </c>
      <c r="K46" t="s">
        <v>53</v>
      </c>
    </row>
    <row r="47" spans="1:11" x14ac:dyDescent="0.25">
      <c r="A47" t="s">
        <v>35</v>
      </c>
      <c r="B47" t="s">
        <v>70</v>
      </c>
      <c r="C47" s="2" t="s">
        <v>30</v>
      </c>
      <c r="D47" t="s">
        <v>9</v>
      </c>
      <c r="E47" t="s">
        <v>38</v>
      </c>
      <c r="K47" t="s">
        <v>53</v>
      </c>
    </row>
    <row r="48" spans="1:11" x14ac:dyDescent="0.25">
      <c r="A48" t="s">
        <v>35</v>
      </c>
      <c r="B48" t="s">
        <v>70</v>
      </c>
      <c r="C48" s="2" t="s">
        <v>31</v>
      </c>
      <c r="D48" t="s">
        <v>9</v>
      </c>
      <c r="E48" t="s">
        <v>38</v>
      </c>
      <c r="K48" t="s">
        <v>53</v>
      </c>
    </row>
    <row r="49" spans="1:11" x14ac:dyDescent="0.25">
      <c r="A49" t="s">
        <v>35</v>
      </c>
      <c r="B49" t="s">
        <v>70</v>
      </c>
      <c r="C49" s="2" t="s">
        <v>32</v>
      </c>
      <c r="D49" t="s">
        <v>9</v>
      </c>
      <c r="E49" t="s">
        <v>38</v>
      </c>
      <c r="K49" t="s">
        <v>53</v>
      </c>
    </row>
    <row r="50" spans="1:11" x14ac:dyDescent="0.25">
      <c r="A50" t="s">
        <v>35</v>
      </c>
      <c r="B50" t="s">
        <v>70</v>
      </c>
      <c r="C50" s="2" t="s">
        <v>33</v>
      </c>
      <c r="D50" t="s">
        <v>9</v>
      </c>
      <c r="E50" t="s">
        <v>38</v>
      </c>
      <c r="K50" t="s">
        <v>53</v>
      </c>
    </row>
    <row r="51" spans="1:11" x14ac:dyDescent="0.25">
      <c r="A51" t="s">
        <v>35</v>
      </c>
      <c r="B51" t="s">
        <v>70</v>
      </c>
      <c r="C51" s="2" t="s">
        <v>34</v>
      </c>
      <c r="D51" t="s">
        <v>9</v>
      </c>
      <c r="E51" t="s">
        <v>38</v>
      </c>
      <c r="K51" t="s">
        <v>53</v>
      </c>
    </row>
    <row r="52" spans="1:11" x14ac:dyDescent="0.25">
      <c r="A52" t="s">
        <v>35</v>
      </c>
      <c r="B52" t="s">
        <v>70</v>
      </c>
      <c r="C52" s="2" t="s">
        <v>25</v>
      </c>
      <c r="D52" t="s">
        <v>36</v>
      </c>
      <c r="E52" t="s">
        <v>38</v>
      </c>
      <c r="F52">
        <v>10000</v>
      </c>
      <c r="G52">
        <v>100</v>
      </c>
      <c r="H52">
        <v>2.0499999999999998</v>
      </c>
      <c r="I52">
        <v>2.0499999999999998</v>
      </c>
      <c r="J52">
        <v>0.4</v>
      </c>
      <c r="K52" t="s">
        <v>53</v>
      </c>
    </row>
    <row r="53" spans="1:11" x14ac:dyDescent="0.25">
      <c r="A53" t="s">
        <v>35</v>
      </c>
      <c r="B53" t="s">
        <v>70</v>
      </c>
      <c r="C53" s="2" t="s">
        <v>26</v>
      </c>
      <c r="D53" t="s">
        <v>36</v>
      </c>
      <c r="E53" t="s">
        <v>38</v>
      </c>
      <c r="F53">
        <v>10000</v>
      </c>
      <c r="G53">
        <v>100</v>
      </c>
      <c r="H53">
        <v>2.0499999999999998</v>
      </c>
      <c r="I53">
        <v>2.0499999999999998</v>
      </c>
      <c r="J53">
        <v>0.4</v>
      </c>
      <c r="K53" t="s">
        <v>53</v>
      </c>
    </row>
    <row r="54" spans="1:11" x14ac:dyDescent="0.25">
      <c r="A54" t="s">
        <v>35</v>
      </c>
      <c r="B54" t="s">
        <v>70</v>
      </c>
      <c r="C54" s="2" t="s">
        <v>27</v>
      </c>
      <c r="D54" t="s">
        <v>36</v>
      </c>
      <c r="E54" t="s">
        <v>38</v>
      </c>
      <c r="F54">
        <v>10000</v>
      </c>
      <c r="G54">
        <v>100</v>
      </c>
      <c r="H54">
        <v>2.0499999999999998</v>
      </c>
      <c r="I54">
        <v>2.0499999999999998</v>
      </c>
      <c r="J54">
        <v>0.4</v>
      </c>
      <c r="K54" t="s">
        <v>53</v>
      </c>
    </row>
    <row r="55" spans="1:11" x14ac:dyDescent="0.25">
      <c r="A55" t="s">
        <v>35</v>
      </c>
      <c r="B55" t="s">
        <v>70</v>
      </c>
      <c r="C55" s="2" t="s">
        <v>28</v>
      </c>
      <c r="D55" t="s">
        <v>36</v>
      </c>
      <c r="E55" t="s">
        <v>38</v>
      </c>
      <c r="F55">
        <v>10000</v>
      </c>
      <c r="G55">
        <v>100</v>
      </c>
      <c r="H55">
        <v>2.0499999999999998</v>
      </c>
      <c r="I55">
        <v>2.0499999999999998</v>
      </c>
      <c r="J55">
        <v>0.4</v>
      </c>
      <c r="K55" t="s">
        <v>53</v>
      </c>
    </row>
    <row r="56" spans="1:11" x14ac:dyDescent="0.25">
      <c r="A56" t="s">
        <v>35</v>
      </c>
      <c r="B56" t="s">
        <v>70</v>
      </c>
      <c r="C56" s="2" t="s">
        <v>29</v>
      </c>
      <c r="D56" t="s">
        <v>36</v>
      </c>
      <c r="E56" t="s">
        <v>38</v>
      </c>
      <c r="F56">
        <v>10000</v>
      </c>
      <c r="G56">
        <v>100</v>
      </c>
      <c r="H56">
        <v>2.0499999999999998</v>
      </c>
      <c r="I56">
        <v>2.0499999999999998</v>
      </c>
      <c r="J56">
        <v>0.4</v>
      </c>
      <c r="K56" t="s">
        <v>53</v>
      </c>
    </row>
    <row r="57" spans="1:11" x14ac:dyDescent="0.25">
      <c r="A57" t="s">
        <v>35</v>
      </c>
      <c r="B57" t="s">
        <v>70</v>
      </c>
      <c r="C57" s="2" t="s">
        <v>30</v>
      </c>
      <c r="D57" t="s">
        <v>36</v>
      </c>
      <c r="E57" t="s">
        <v>38</v>
      </c>
      <c r="F57">
        <v>10000</v>
      </c>
      <c r="G57">
        <v>100</v>
      </c>
      <c r="H57">
        <v>2.0499999999999998</v>
      </c>
      <c r="I57">
        <v>2.0499999999999998</v>
      </c>
      <c r="J57">
        <v>0.4</v>
      </c>
      <c r="K57" t="s">
        <v>53</v>
      </c>
    </row>
    <row r="58" spans="1:11" x14ac:dyDescent="0.25">
      <c r="A58" t="s">
        <v>35</v>
      </c>
      <c r="B58" t="s">
        <v>70</v>
      </c>
      <c r="C58" s="2" t="s">
        <v>31</v>
      </c>
      <c r="D58" t="s">
        <v>36</v>
      </c>
      <c r="E58" t="s">
        <v>38</v>
      </c>
      <c r="F58">
        <v>10000</v>
      </c>
      <c r="G58">
        <v>100</v>
      </c>
      <c r="H58">
        <v>2.0499999999999998</v>
      </c>
      <c r="I58">
        <v>2.0499999999999998</v>
      </c>
      <c r="J58">
        <v>0.4</v>
      </c>
      <c r="K58" t="s">
        <v>53</v>
      </c>
    </row>
    <row r="59" spans="1:11" x14ac:dyDescent="0.25">
      <c r="A59" t="s">
        <v>35</v>
      </c>
      <c r="B59" t="s">
        <v>70</v>
      </c>
      <c r="C59" s="2" t="s">
        <v>32</v>
      </c>
      <c r="D59" t="s">
        <v>36</v>
      </c>
      <c r="E59" t="s">
        <v>38</v>
      </c>
      <c r="F59">
        <v>10000</v>
      </c>
      <c r="G59">
        <v>100</v>
      </c>
      <c r="H59">
        <v>2.0499999999999998</v>
      </c>
      <c r="I59">
        <v>2.0499999999999998</v>
      </c>
      <c r="J59">
        <v>0.4</v>
      </c>
      <c r="K59" t="s">
        <v>53</v>
      </c>
    </row>
    <row r="60" spans="1:11" x14ac:dyDescent="0.25">
      <c r="A60" t="s">
        <v>35</v>
      </c>
      <c r="B60" t="s">
        <v>70</v>
      </c>
      <c r="C60" s="2" t="s">
        <v>33</v>
      </c>
      <c r="D60" t="s">
        <v>36</v>
      </c>
      <c r="E60" t="s">
        <v>38</v>
      </c>
      <c r="F60">
        <v>10000</v>
      </c>
      <c r="G60">
        <v>100</v>
      </c>
      <c r="H60">
        <v>2.0499999999999998</v>
      </c>
      <c r="I60">
        <v>2.0499999999999998</v>
      </c>
      <c r="J60">
        <v>0.4</v>
      </c>
      <c r="K60" t="s">
        <v>53</v>
      </c>
    </row>
    <row r="61" spans="1:11" x14ac:dyDescent="0.25">
      <c r="A61" t="s">
        <v>35</v>
      </c>
      <c r="B61" t="s">
        <v>70</v>
      </c>
      <c r="C61" s="2" t="s">
        <v>34</v>
      </c>
      <c r="D61" t="s">
        <v>36</v>
      </c>
      <c r="E61" t="s">
        <v>38</v>
      </c>
      <c r="F61">
        <v>10000</v>
      </c>
      <c r="G61">
        <v>100</v>
      </c>
      <c r="H61">
        <v>2.0499999999999998</v>
      </c>
      <c r="I61">
        <v>2.0499999999999998</v>
      </c>
      <c r="J61">
        <v>0.4</v>
      </c>
      <c r="K61" t="s">
        <v>53</v>
      </c>
    </row>
    <row r="62" spans="1:11" x14ac:dyDescent="0.25">
      <c r="A62" t="s">
        <v>35</v>
      </c>
      <c r="B62" t="s">
        <v>70</v>
      </c>
      <c r="C62" t="s">
        <v>25</v>
      </c>
      <c r="D62" t="s">
        <v>5</v>
      </c>
      <c r="E62" t="s">
        <v>52</v>
      </c>
      <c r="K62" t="s">
        <v>53</v>
      </c>
    </row>
    <row r="63" spans="1:11" x14ac:dyDescent="0.25">
      <c r="A63" t="s">
        <v>35</v>
      </c>
      <c r="B63" t="s">
        <v>70</v>
      </c>
      <c r="C63" t="s">
        <v>26</v>
      </c>
      <c r="D63" t="s">
        <v>5</v>
      </c>
      <c r="E63" t="s">
        <v>52</v>
      </c>
      <c r="K63" t="s">
        <v>53</v>
      </c>
    </row>
    <row r="64" spans="1:11" x14ac:dyDescent="0.25">
      <c r="A64" t="s">
        <v>35</v>
      </c>
      <c r="B64" t="s">
        <v>70</v>
      </c>
      <c r="C64" t="s">
        <v>27</v>
      </c>
      <c r="D64" t="s">
        <v>5</v>
      </c>
      <c r="E64" t="s">
        <v>52</v>
      </c>
      <c r="K64" t="s">
        <v>53</v>
      </c>
    </row>
    <row r="65" spans="1:11" x14ac:dyDescent="0.25">
      <c r="A65" t="s">
        <v>35</v>
      </c>
      <c r="B65" t="s">
        <v>70</v>
      </c>
      <c r="C65" t="s">
        <v>28</v>
      </c>
      <c r="D65" t="s">
        <v>5</v>
      </c>
      <c r="E65" t="s">
        <v>52</v>
      </c>
      <c r="K65" t="s">
        <v>53</v>
      </c>
    </row>
    <row r="66" spans="1:11" x14ac:dyDescent="0.25">
      <c r="A66" t="s">
        <v>35</v>
      </c>
      <c r="B66" t="s">
        <v>70</v>
      </c>
      <c r="C66" t="s">
        <v>29</v>
      </c>
      <c r="D66" t="s">
        <v>5</v>
      </c>
      <c r="E66" t="s">
        <v>52</v>
      </c>
      <c r="K66" t="s">
        <v>53</v>
      </c>
    </row>
    <row r="67" spans="1:11" x14ac:dyDescent="0.25">
      <c r="A67" t="s">
        <v>35</v>
      </c>
      <c r="B67" t="s">
        <v>70</v>
      </c>
      <c r="C67" t="s">
        <v>30</v>
      </c>
      <c r="D67" t="s">
        <v>5</v>
      </c>
      <c r="E67" t="s">
        <v>52</v>
      </c>
      <c r="K67" t="s">
        <v>53</v>
      </c>
    </row>
    <row r="68" spans="1:11" x14ac:dyDescent="0.25">
      <c r="A68" t="s">
        <v>35</v>
      </c>
      <c r="B68" t="s">
        <v>70</v>
      </c>
      <c r="C68" t="s">
        <v>31</v>
      </c>
      <c r="D68" t="s">
        <v>5</v>
      </c>
      <c r="E68" t="s">
        <v>52</v>
      </c>
      <c r="K68" t="s">
        <v>53</v>
      </c>
    </row>
    <row r="69" spans="1:11" x14ac:dyDescent="0.25">
      <c r="A69" t="s">
        <v>35</v>
      </c>
      <c r="B69" t="s">
        <v>70</v>
      </c>
      <c r="C69" t="s">
        <v>32</v>
      </c>
      <c r="D69" t="s">
        <v>5</v>
      </c>
      <c r="E69" t="s">
        <v>52</v>
      </c>
      <c r="K69" t="s">
        <v>53</v>
      </c>
    </row>
    <row r="70" spans="1:11" x14ac:dyDescent="0.25">
      <c r="A70" t="s">
        <v>35</v>
      </c>
      <c r="B70" t="s">
        <v>70</v>
      </c>
      <c r="C70" s="1" t="s">
        <v>33</v>
      </c>
      <c r="D70" t="s">
        <v>5</v>
      </c>
      <c r="E70" t="s">
        <v>52</v>
      </c>
      <c r="K70" t="s">
        <v>53</v>
      </c>
    </row>
    <row r="71" spans="1:11" x14ac:dyDescent="0.25">
      <c r="A71" t="s">
        <v>35</v>
      </c>
      <c r="B71" t="s">
        <v>70</v>
      </c>
      <c r="C71" t="s">
        <v>34</v>
      </c>
      <c r="D71" t="s">
        <v>5</v>
      </c>
      <c r="E71" t="s">
        <v>52</v>
      </c>
      <c r="K71" t="s">
        <v>53</v>
      </c>
    </row>
    <row r="72" spans="1:11" x14ac:dyDescent="0.25">
      <c r="A72" t="s">
        <v>35</v>
      </c>
      <c r="B72" t="s">
        <v>70</v>
      </c>
      <c r="C72" t="s">
        <v>25</v>
      </c>
      <c r="D72" t="s">
        <v>6</v>
      </c>
      <c r="E72" t="s">
        <v>52</v>
      </c>
      <c r="K72" t="s">
        <v>53</v>
      </c>
    </row>
    <row r="73" spans="1:11" x14ac:dyDescent="0.25">
      <c r="A73" t="s">
        <v>35</v>
      </c>
      <c r="B73" t="s">
        <v>70</v>
      </c>
      <c r="C73" t="s">
        <v>26</v>
      </c>
      <c r="D73" t="s">
        <v>6</v>
      </c>
      <c r="E73" t="s">
        <v>52</v>
      </c>
      <c r="K73" t="s">
        <v>53</v>
      </c>
    </row>
    <row r="74" spans="1:11" x14ac:dyDescent="0.25">
      <c r="A74" t="s">
        <v>35</v>
      </c>
      <c r="B74" t="s">
        <v>70</v>
      </c>
      <c r="C74" t="s">
        <v>27</v>
      </c>
      <c r="D74" t="s">
        <v>6</v>
      </c>
      <c r="E74" t="s">
        <v>52</v>
      </c>
      <c r="K74" t="s">
        <v>53</v>
      </c>
    </row>
    <row r="75" spans="1:11" x14ac:dyDescent="0.25">
      <c r="A75" t="s">
        <v>35</v>
      </c>
      <c r="B75" t="s">
        <v>70</v>
      </c>
      <c r="C75" t="s">
        <v>28</v>
      </c>
      <c r="D75" t="s">
        <v>6</v>
      </c>
      <c r="E75" t="s">
        <v>52</v>
      </c>
      <c r="K75" t="s">
        <v>53</v>
      </c>
    </row>
    <row r="76" spans="1:11" x14ac:dyDescent="0.25">
      <c r="A76" t="s">
        <v>35</v>
      </c>
      <c r="B76" t="s">
        <v>70</v>
      </c>
      <c r="C76" t="s">
        <v>29</v>
      </c>
      <c r="D76" t="s">
        <v>6</v>
      </c>
      <c r="E76" t="s">
        <v>52</v>
      </c>
      <c r="K76" t="s">
        <v>53</v>
      </c>
    </row>
    <row r="77" spans="1:11" x14ac:dyDescent="0.25">
      <c r="A77" t="s">
        <v>35</v>
      </c>
      <c r="B77" t="s">
        <v>70</v>
      </c>
      <c r="C77" t="s">
        <v>30</v>
      </c>
      <c r="D77" t="s">
        <v>6</v>
      </c>
      <c r="E77" t="s">
        <v>52</v>
      </c>
      <c r="K77" t="s">
        <v>53</v>
      </c>
    </row>
    <row r="78" spans="1:11" x14ac:dyDescent="0.25">
      <c r="A78" t="s">
        <v>35</v>
      </c>
      <c r="B78" t="s">
        <v>70</v>
      </c>
      <c r="C78" t="s">
        <v>31</v>
      </c>
      <c r="D78" t="s">
        <v>6</v>
      </c>
      <c r="E78" t="s">
        <v>52</v>
      </c>
      <c r="K78" t="s">
        <v>53</v>
      </c>
    </row>
    <row r="79" spans="1:11" x14ac:dyDescent="0.25">
      <c r="A79" t="s">
        <v>35</v>
      </c>
      <c r="B79" t="s">
        <v>70</v>
      </c>
      <c r="C79" t="s">
        <v>32</v>
      </c>
      <c r="D79" t="s">
        <v>6</v>
      </c>
      <c r="E79" t="s">
        <v>52</v>
      </c>
      <c r="K79" t="s">
        <v>53</v>
      </c>
    </row>
    <row r="80" spans="1:11" x14ac:dyDescent="0.25">
      <c r="A80" t="s">
        <v>35</v>
      </c>
      <c r="B80" t="s">
        <v>70</v>
      </c>
      <c r="C80" s="1" t="s">
        <v>33</v>
      </c>
      <c r="D80" t="s">
        <v>6</v>
      </c>
      <c r="E80" t="s">
        <v>52</v>
      </c>
      <c r="K80" t="s">
        <v>53</v>
      </c>
    </row>
    <row r="81" spans="1:11" x14ac:dyDescent="0.25">
      <c r="A81" t="s">
        <v>35</v>
      </c>
      <c r="B81" t="s">
        <v>70</v>
      </c>
      <c r="C81" t="s">
        <v>34</v>
      </c>
      <c r="D81" t="s">
        <v>6</v>
      </c>
      <c r="E81" t="s">
        <v>52</v>
      </c>
      <c r="K81" t="s">
        <v>53</v>
      </c>
    </row>
    <row r="82" spans="1:11" x14ac:dyDescent="0.25">
      <c r="A82" t="s">
        <v>35</v>
      </c>
      <c r="B82" t="s">
        <v>70</v>
      </c>
      <c r="C82" t="s">
        <v>25</v>
      </c>
      <c r="D82" t="s">
        <v>7</v>
      </c>
      <c r="E82" t="s">
        <v>52</v>
      </c>
      <c r="K82" t="s">
        <v>53</v>
      </c>
    </row>
    <row r="83" spans="1:11" x14ac:dyDescent="0.25">
      <c r="A83" t="s">
        <v>35</v>
      </c>
      <c r="B83" t="s">
        <v>70</v>
      </c>
      <c r="C83" t="s">
        <v>26</v>
      </c>
      <c r="D83" t="s">
        <v>7</v>
      </c>
      <c r="E83" t="s">
        <v>52</v>
      </c>
      <c r="K83" t="s">
        <v>53</v>
      </c>
    </row>
    <row r="84" spans="1:11" x14ac:dyDescent="0.25">
      <c r="A84" t="s">
        <v>35</v>
      </c>
      <c r="B84" t="s">
        <v>70</v>
      </c>
      <c r="C84" t="s">
        <v>27</v>
      </c>
      <c r="D84" t="s">
        <v>7</v>
      </c>
      <c r="E84" t="s">
        <v>52</v>
      </c>
      <c r="K84" t="s">
        <v>53</v>
      </c>
    </row>
    <row r="85" spans="1:11" x14ac:dyDescent="0.25">
      <c r="A85" t="s">
        <v>35</v>
      </c>
      <c r="B85" t="s">
        <v>70</v>
      </c>
      <c r="C85" t="s">
        <v>28</v>
      </c>
      <c r="D85" t="s">
        <v>7</v>
      </c>
      <c r="E85" t="s">
        <v>52</v>
      </c>
      <c r="K85" t="s">
        <v>53</v>
      </c>
    </row>
    <row r="86" spans="1:11" x14ac:dyDescent="0.25">
      <c r="A86" t="s">
        <v>35</v>
      </c>
      <c r="B86" t="s">
        <v>70</v>
      </c>
      <c r="C86" t="s">
        <v>29</v>
      </c>
      <c r="D86" t="s">
        <v>7</v>
      </c>
      <c r="E86" t="s">
        <v>52</v>
      </c>
      <c r="K86" t="s">
        <v>53</v>
      </c>
    </row>
    <row r="87" spans="1:11" x14ac:dyDescent="0.25">
      <c r="A87" t="s">
        <v>35</v>
      </c>
      <c r="B87" t="s">
        <v>70</v>
      </c>
      <c r="C87" t="s">
        <v>30</v>
      </c>
      <c r="D87" t="s">
        <v>7</v>
      </c>
      <c r="E87" t="s">
        <v>52</v>
      </c>
      <c r="K87" t="s">
        <v>53</v>
      </c>
    </row>
    <row r="88" spans="1:11" x14ac:dyDescent="0.25">
      <c r="A88" t="s">
        <v>35</v>
      </c>
      <c r="B88" t="s">
        <v>70</v>
      </c>
      <c r="C88" t="s">
        <v>31</v>
      </c>
      <c r="D88" t="s">
        <v>7</v>
      </c>
      <c r="E88" t="s">
        <v>52</v>
      </c>
      <c r="K88" t="s">
        <v>53</v>
      </c>
    </row>
    <row r="89" spans="1:11" x14ac:dyDescent="0.25">
      <c r="A89" t="s">
        <v>35</v>
      </c>
      <c r="B89" t="s">
        <v>70</v>
      </c>
      <c r="C89" t="s">
        <v>32</v>
      </c>
      <c r="D89" t="s">
        <v>7</v>
      </c>
      <c r="E89" t="s">
        <v>52</v>
      </c>
      <c r="K89" t="s">
        <v>53</v>
      </c>
    </row>
    <row r="90" spans="1:11" x14ac:dyDescent="0.25">
      <c r="A90" t="s">
        <v>35</v>
      </c>
      <c r="B90" t="s">
        <v>70</v>
      </c>
      <c r="C90" s="1" t="s">
        <v>33</v>
      </c>
      <c r="D90" t="s">
        <v>7</v>
      </c>
      <c r="E90" t="s">
        <v>52</v>
      </c>
      <c r="K90" t="s">
        <v>53</v>
      </c>
    </row>
    <row r="91" spans="1:11" x14ac:dyDescent="0.25">
      <c r="A91" t="s">
        <v>35</v>
      </c>
      <c r="B91" t="s">
        <v>70</v>
      </c>
      <c r="C91" t="s">
        <v>34</v>
      </c>
      <c r="D91" t="s">
        <v>7</v>
      </c>
      <c r="E91" t="s">
        <v>52</v>
      </c>
      <c r="K91" t="s">
        <v>53</v>
      </c>
    </row>
    <row r="92" spans="1:11" x14ac:dyDescent="0.25">
      <c r="A92" t="s">
        <v>35</v>
      </c>
      <c r="B92" t="s">
        <v>70</v>
      </c>
      <c r="C92" s="2" t="s">
        <v>25</v>
      </c>
      <c r="D92" t="s">
        <v>8</v>
      </c>
      <c r="E92" t="s">
        <v>52</v>
      </c>
      <c r="K92" t="s">
        <v>53</v>
      </c>
    </row>
    <row r="93" spans="1:11" x14ac:dyDescent="0.25">
      <c r="A93" t="s">
        <v>35</v>
      </c>
      <c r="B93" t="s">
        <v>70</v>
      </c>
      <c r="C93" s="2" t="s">
        <v>26</v>
      </c>
      <c r="D93" t="s">
        <v>8</v>
      </c>
      <c r="E93" t="s">
        <v>52</v>
      </c>
      <c r="K93" t="s">
        <v>53</v>
      </c>
    </row>
    <row r="94" spans="1:11" x14ac:dyDescent="0.25">
      <c r="A94" t="s">
        <v>35</v>
      </c>
      <c r="B94" t="s">
        <v>70</v>
      </c>
      <c r="C94" s="2" t="s">
        <v>27</v>
      </c>
      <c r="D94" t="s">
        <v>8</v>
      </c>
      <c r="E94" t="s">
        <v>52</v>
      </c>
      <c r="K94" t="s">
        <v>53</v>
      </c>
    </row>
    <row r="95" spans="1:11" x14ac:dyDescent="0.25">
      <c r="A95" t="s">
        <v>35</v>
      </c>
      <c r="B95" t="s">
        <v>70</v>
      </c>
      <c r="C95" s="2" t="s">
        <v>28</v>
      </c>
      <c r="D95" t="s">
        <v>8</v>
      </c>
      <c r="E95" t="s">
        <v>52</v>
      </c>
      <c r="K95" t="s">
        <v>53</v>
      </c>
    </row>
    <row r="96" spans="1:11" x14ac:dyDescent="0.25">
      <c r="A96" t="s">
        <v>35</v>
      </c>
      <c r="B96" t="s">
        <v>70</v>
      </c>
      <c r="C96" s="2" t="s">
        <v>29</v>
      </c>
      <c r="D96" t="s">
        <v>8</v>
      </c>
      <c r="E96" t="s">
        <v>52</v>
      </c>
      <c r="K96" t="s">
        <v>53</v>
      </c>
    </row>
    <row r="97" spans="1:11" x14ac:dyDescent="0.25">
      <c r="A97" t="s">
        <v>35</v>
      </c>
      <c r="B97" t="s">
        <v>70</v>
      </c>
      <c r="C97" s="2" t="s">
        <v>30</v>
      </c>
      <c r="D97" t="s">
        <v>8</v>
      </c>
      <c r="E97" t="s">
        <v>52</v>
      </c>
      <c r="K97" t="s">
        <v>53</v>
      </c>
    </row>
    <row r="98" spans="1:11" x14ac:dyDescent="0.25">
      <c r="A98" t="s">
        <v>35</v>
      </c>
      <c r="B98" t="s">
        <v>70</v>
      </c>
      <c r="C98" s="2" t="s">
        <v>31</v>
      </c>
      <c r="D98" t="s">
        <v>8</v>
      </c>
      <c r="E98" t="s">
        <v>52</v>
      </c>
      <c r="K98" t="s">
        <v>53</v>
      </c>
    </row>
    <row r="99" spans="1:11" x14ac:dyDescent="0.25">
      <c r="A99" t="s">
        <v>35</v>
      </c>
      <c r="B99" t="s">
        <v>70</v>
      </c>
      <c r="C99" s="2" t="s">
        <v>32</v>
      </c>
      <c r="D99" t="s">
        <v>8</v>
      </c>
      <c r="E99" t="s">
        <v>52</v>
      </c>
      <c r="K99" t="s">
        <v>53</v>
      </c>
    </row>
    <row r="100" spans="1:11" x14ac:dyDescent="0.25">
      <c r="A100" t="s">
        <v>35</v>
      </c>
      <c r="B100" t="s">
        <v>70</v>
      </c>
      <c r="C100" s="2" t="s">
        <v>33</v>
      </c>
      <c r="D100" t="s">
        <v>8</v>
      </c>
      <c r="E100" t="s">
        <v>52</v>
      </c>
      <c r="K100" t="s">
        <v>53</v>
      </c>
    </row>
    <row r="101" spans="1:11" x14ac:dyDescent="0.25">
      <c r="A101" t="s">
        <v>35</v>
      </c>
      <c r="B101" t="s">
        <v>70</v>
      </c>
      <c r="C101" s="2" t="s">
        <v>34</v>
      </c>
      <c r="D101" t="s">
        <v>8</v>
      </c>
      <c r="E101" t="s">
        <v>52</v>
      </c>
      <c r="K101" t="s">
        <v>53</v>
      </c>
    </row>
    <row r="102" spans="1:11" x14ac:dyDescent="0.25">
      <c r="A102" t="s">
        <v>35</v>
      </c>
      <c r="B102" t="s">
        <v>70</v>
      </c>
      <c r="C102" s="2" t="s">
        <v>25</v>
      </c>
      <c r="D102" t="s">
        <v>9</v>
      </c>
      <c r="E102" t="s">
        <v>52</v>
      </c>
      <c r="K102" t="s">
        <v>53</v>
      </c>
    </row>
    <row r="103" spans="1:11" x14ac:dyDescent="0.25">
      <c r="A103" t="s">
        <v>35</v>
      </c>
      <c r="B103" t="s">
        <v>70</v>
      </c>
      <c r="C103" s="2" t="s">
        <v>26</v>
      </c>
      <c r="D103" t="s">
        <v>9</v>
      </c>
      <c r="E103" t="s">
        <v>52</v>
      </c>
      <c r="K103" t="s">
        <v>53</v>
      </c>
    </row>
    <row r="104" spans="1:11" x14ac:dyDescent="0.25">
      <c r="A104" t="s">
        <v>35</v>
      </c>
      <c r="B104" t="s">
        <v>70</v>
      </c>
      <c r="C104" s="2" t="s">
        <v>27</v>
      </c>
      <c r="D104" t="s">
        <v>9</v>
      </c>
      <c r="E104" t="s">
        <v>52</v>
      </c>
      <c r="K104" t="s">
        <v>53</v>
      </c>
    </row>
    <row r="105" spans="1:11" x14ac:dyDescent="0.25">
      <c r="A105" t="s">
        <v>35</v>
      </c>
      <c r="B105" t="s">
        <v>70</v>
      </c>
      <c r="C105" s="2" t="s">
        <v>28</v>
      </c>
      <c r="D105" t="s">
        <v>9</v>
      </c>
      <c r="E105" t="s">
        <v>52</v>
      </c>
      <c r="K105" t="s">
        <v>53</v>
      </c>
    </row>
    <row r="106" spans="1:11" x14ac:dyDescent="0.25">
      <c r="A106" t="s">
        <v>35</v>
      </c>
      <c r="B106" t="s">
        <v>70</v>
      </c>
      <c r="C106" s="2" t="s">
        <v>29</v>
      </c>
      <c r="D106" t="s">
        <v>9</v>
      </c>
      <c r="E106" t="s">
        <v>52</v>
      </c>
      <c r="K106" t="s">
        <v>53</v>
      </c>
    </row>
    <row r="107" spans="1:11" x14ac:dyDescent="0.25">
      <c r="A107" t="s">
        <v>35</v>
      </c>
      <c r="B107" t="s">
        <v>70</v>
      </c>
      <c r="C107" s="2" t="s">
        <v>30</v>
      </c>
      <c r="D107" t="s">
        <v>9</v>
      </c>
      <c r="E107" t="s">
        <v>52</v>
      </c>
      <c r="K107" t="s">
        <v>53</v>
      </c>
    </row>
    <row r="108" spans="1:11" x14ac:dyDescent="0.25">
      <c r="A108" t="s">
        <v>35</v>
      </c>
      <c r="B108" t="s">
        <v>70</v>
      </c>
      <c r="C108" s="2" t="s">
        <v>31</v>
      </c>
      <c r="D108" t="s">
        <v>9</v>
      </c>
      <c r="E108" t="s">
        <v>52</v>
      </c>
      <c r="K108" t="s">
        <v>53</v>
      </c>
    </row>
    <row r="109" spans="1:11" x14ac:dyDescent="0.25">
      <c r="A109" t="s">
        <v>35</v>
      </c>
      <c r="B109" t="s">
        <v>70</v>
      </c>
      <c r="C109" s="2" t="s">
        <v>32</v>
      </c>
      <c r="D109" t="s">
        <v>9</v>
      </c>
      <c r="E109" t="s">
        <v>52</v>
      </c>
      <c r="K109" t="s">
        <v>53</v>
      </c>
    </row>
    <row r="110" spans="1:11" x14ac:dyDescent="0.25">
      <c r="A110" t="s">
        <v>35</v>
      </c>
      <c r="B110" t="s">
        <v>70</v>
      </c>
      <c r="C110" s="2" t="s">
        <v>33</v>
      </c>
      <c r="D110" t="s">
        <v>9</v>
      </c>
      <c r="E110" t="s">
        <v>52</v>
      </c>
      <c r="K110" t="s">
        <v>53</v>
      </c>
    </row>
    <row r="111" spans="1:11" x14ac:dyDescent="0.25">
      <c r="A111" t="s">
        <v>35</v>
      </c>
      <c r="B111" t="s">
        <v>70</v>
      </c>
      <c r="C111" s="2" t="s">
        <v>34</v>
      </c>
      <c r="D111" t="s">
        <v>9</v>
      </c>
      <c r="E111" t="s">
        <v>52</v>
      </c>
      <c r="K111" t="s">
        <v>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0A152-6552-DF40-88AC-C1E800638027}">
  <dimension ref="A1:O91"/>
  <sheetViews>
    <sheetView zoomScale="102" workbookViewId="0">
      <selection activeCell="E65" sqref="E65"/>
    </sheetView>
  </sheetViews>
  <sheetFormatPr defaultColWidth="11" defaultRowHeight="15.75" x14ac:dyDescent="0.25"/>
  <cols>
    <col min="1" max="2" width="11" style="8"/>
    <col min="3" max="3" width="13.375" style="8" bestFit="1" customWidth="1"/>
    <col min="4" max="4" width="13.375" style="8" customWidth="1"/>
    <col min="5" max="10" width="11" style="8"/>
    <col min="11" max="11" width="10.625" style="8" bestFit="1" customWidth="1"/>
    <col min="12" max="12" width="11" style="8"/>
    <col min="13" max="13" width="18.625" style="8" bestFit="1" customWidth="1"/>
    <col min="14" max="16384" width="11" style="8"/>
  </cols>
  <sheetData>
    <row r="1" spans="1:15" x14ac:dyDescent="0.25">
      <c r="A1" s="8" t="s">
        <v>0</v>
      </c>
      <c r="B1" s="8" t="s">
        <v>39</v>
      </c>
      <c r="C1" s="8" t="s">
        <v>1</v>
      </c>
      <c r="D1" s="8" t="s">
        <v>108</v>
      </c>
      <c r="E1" s="8" t="s">
        <v>3</v>
      </c>
      <c r="F1" s="8" t="s">
        <v>37</v>
      </c>
      <c r="G1" s="8" t="s">
        <v>40</v>
      </c>
      <c r="H1" s="8" t="s">
        <v>41</v>
      </c>
      <c r="I1" s="8" t="s">
        <v>42</v>
      </c>
      <c r="J1" s="8" t="s">
        <v>43</v>
      </c>
      <c r="K1" s="8" t="s">
        <v>44</v>
      </c>
      <c r="L1" s="8" t="s">
        <v>45</v>
      </c>
      <c r="M1" s="8" t="s">
        <v>46</v>
      </c>
      <c r="N1" s="8" t="s">
        <v>47</v>
      </c>
      <c r="O1" s="8" t="s">
        <v>106</v>
      </c>
    </row>
    <row r="2" spans="1:15" x14ac:dyDescent="0.25">
      <c r="A2" s="8" t="s">
        <v>68</v>
      </c>
      <c r="B2" s="8" t="s">
        <v>67</v>
      </c>
      <c r="C2" s="8" t="s">
        <v>16</v>
      </c>
      <c r="D2" s="8" t="s">
        <v>71</v>
      </c>
      <c r="E2" s="8" t="s">
        <v>107</v>
      </c>
      <c r="F2" s="8" t="s">
        <v>38</v>
      </c>
      <c r="G2" s="8">
        <v>1000</v>
      </c>
      <c r="H2" s="8">
        <v>100</v>
      </c>
      <c r="I2" s="8">
        <v>0.9</v>
      </c>
      <c r="J2" s="8">
        <v>0.1</v>
      </c>
      <c r="K2" s="8" t="s">
        <v>48</v>
      </c>
      <c r="L2" s="8" t="s">
        <v>49</v>
      </c>
      <c r="M2" s="9" t="s">
        <v>50</v>
      </c>
      <c r="N2" s="8" t="s">
        <v>62</v>
      </c>
      <c r="O2" s="8" t="str" cm="1">
        <f t="array" ref="O2">CONCATENATE("I'm using mealpy library to solve Job-Shop Scheduling Problem. My problem instance has ",_xlfn.CHOOSECOLS(_xlfn.TEXTSPLIT(D2,"_"),1)," jobs and ", _xlfn.CHOOSECOLS(_xlfn.TEXTSPLIT(D2,"_"),2),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 spans="1:15" x14ac:dyDescent="0.25">
      <c r="A3" s="8" t="s">
        <v>68</v>
      </c>
      <c r="B3" s="8" t="s">
        <v>67</v>
      </c>
      <c r="C3" s="8" t="s">
        <v>22</v>
      </c>
      <c r="D3" s="8" t="s">
        <v>71</v>
      </c>
      <c r="E3" s="8" t="s">
        <v>107</v>
      </c>
      <c r="F3" s="8" t="s">
        <v>38</v>
      </c>
      <c r="G3" s="8">
        <v>1000</v>
      </c>
      <c r="H3" s="8">
        <v>100</v>
      </c>
      <c r="I3" s="8">
        <v>0.8</v>
      </c>
      <c r="J3" s="8">
        <v>0.2</v>
      </c>
      <c r="K3" s="8" t="s">
        <v>48</v>
      </c>
      <c r="L3" s="8" t="s">
        <v>49</v>
      </c>
      <c r="M3" s="9" t="s">
        <v>50</v>
      </c>
      <c r="N3" s="8" t="s">
        <v>62</v>
      </c>
      <c r="O3" s="8" t="str" cm="1">
        <f t="array" ref="O3">CONCATENATE("I'm using mealpy library to solve Job-Shop Scheduling Problem. My problem instance has ",_xlfn.CHOOSECOLS(_xlfn.TEXTSPLIT(D3,"_"),1)," jobs and ", _xlfn.CHOOSECOLS(_xlfn.TEXTSPLIT(D3,"_"),2),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4" spans="1:15" x14ac:dyDescent="0.25">
      <c r="A4" s="8" t="s">
        <v>68</v>
      </c>
      <c r="B4" s="8" t="s">
        <v>67</v>
      </c>
      <c r="C4" s="8" t="s">
        <v>17</v>
      </c>
      <c r="D4" s="8" t="s">
        <v>76</v>
      </c>
      <c r="E4" s="8" t="s">
        <v>107</v>
      </c>
      <c r="F4" s="8" t="s">
        <v>38</v>
      </c>
      <c r="G4" s="8">
        <v>1000</v>
      </c>
      <c r="H4" s="8">
        <v>50</v>
      </c>
      <c r="I4" s="8">
        <v>0.8</v>
      </c>
      <c r="J4" s="8">
        <v>0.2</v>
      </c>
      <c r="K4" s="8" t="s">
        <v>48</v>
      </c>
      <c r="L4" s="8" t="s">
        <v>49</v>
      </c>
      <c r="M4" s="9" t="s">
        <v>50</v>
      </c>
      <c r="N4" s="8" t="s">
        <v>62</v>
      </c>
      <c r="O4" s="8" t="str" cm="1">
        <f t="array" ref="O4">CONCATENATE("I'm using mealpy library to solve Job-Shop Scheduling Problem. My problem instance has ",_xlfn.CHOOSECOLS(_xlfn.TEXTSPLIT(D4,"_"),1)," jobs and ", _xlfn.CHOOSECOLS(_xlfn.TEXTSPLIT(D4,"_"),2),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6 jobs and 6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5" spans="1:15" x14ac:dyDescent="0.25">
      <c r="A5" s="8" t="s">
        <v>68</v>
      </c>
      <c r="B5" s="8" t="s">
        <v>67</v>
      </c>
      <c r="C5" s="8" t="s">
        <v>21</v>
      </c>
      <c r="D5" s="8" t="s">
        <v>71</v>
      </c>
      <c r="E5" s="8" t="s">
        <v>107</v>
      </c>
      <c r="F5" s="8" t="s">
        <v>38</v>
      </c>
      <c r="G5" s="8">
        <v>500</v>
      </c>
      <c r="H5" s="8">
        <v>100</v>
      </c>
      <c r="I5" s="8">
        <v>0.8</v>
      </c>
      <c r="J5" s="8">
        <v>0.2</v>
      </c>
      <c r="K5" s="8" t="s">
        <v>48</v>
      </c>
      <c r="L5" s="8" t="s">
        <v>49</v>
      </c>
      <c r="M5" s="9" t="s">
        <v>50</v>
      </c>
      <c r="N5" s="8" t="s">
        <v>62</v>
      </c>
      <c r="O5" s="8" t="str" cm="1">
        <f t="array" ref="O5">CONCATENATE("I'm using mealpy library to solve Job-Shop Scheduling Problem. My problem instance has ",_xlfn.CHOOSECOLS(_xlfn.TEXTSPLIT(D5,"_"),1)," jobs and ", _xlfn.CHOOSECOLS(_xlfn.TEXTSPLIT(D5,"_"),2),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6" spans="1:15" x14ac:dyDescent="0.25">
      <c r="A6" s="8" t="s">
        <v>68</v>
      </c>
      <c r="B6" s="8" t="s">
        <v>67</v>
      </c>
      <c r="C6" s="8" t="s">
        <v>72</v>
      </c>
      <c r="D6" s="8" t="s">
        <v>75</v>
      </c>
      <c r="E6" s="8" t="s">
        <v>107</v>
      </c>
      <c r="F6" s="8" t="s">
        <v>38</v>
      </c>
      <c r="G6" s="8">
        <v>1000</v>
      </c>
      <c r="H6" s="8">
        <v>100</v>
      </c>
      <c r="I6" s="8">
        <v>0.8</v>
      </c>
      <c r="J6" s="8">
        <v>0.2</v>
      </c>
      <c r="K6" s="8" t="s">
        <v>48</v>
      </c>
      <c r="L6" s="8" t="s">
        <v>49</v>
      </c>
      <c r="M6" s="9" t="s">
        <v>50</v>
      </c>
      <c r="N6" s="8" t="s">
        <v>62</v>
      </c>
      <c r="O6" s="8" t="str" cm="1">
        <f t="array" ref="O6">CONCATENATE("I'm using mealpy library to solve Job-Shop Scheduling Problem. My problem instance has ",_xlfn.CHOOSECOLS(_xlfn.TEXTSPLIT(D6,"_"),1)," jobs and ", _xlfn.CHOOSECOLS(_xlfn.TEXTSPLIT(D6,"_"),2),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7" spans="1:15" x14ac:dyDescent="0.25">
      <c r="A7" s="8" t="s">
        <v>68</v>
      </c>
      <c r="B7" s="8" t="s">
        <v>67</v>
      </c>
      <c r="C7" s="8" t="s">
        <v>23</v>
      </c>
      <c r="D7" s="8" t="s">
        <v>75</v>
      </c>
      <c r="E7" s="8" t="s">
        <v>107</v>
      </c>
      <c r="F7" s="8" t="s">
        <v>38</v>
      </c>
      <c r="G7" s="8">
        <v>100000</v>
      </c>
      <c r="H7" s="8">
        <v>50</v>
      </c>
      <c r="I7" s="8">
        <v>0.8</v>
      </c>
      <c r="J7" s="8">
        <v>0.2</v>
      </c>
      <c r="K7" s="8" t="s">
        <v>48</v>
      </c>
      <c r="L7" s="8" t="s">
        <v>49</v>
      </c>
      <c r="M7" s="9" t="s">
        <v>50</v>
      </c>
      <c r="N7" s="8" t="s">
        <v>62</v>
      </c>
      <c r="O7" s="8" t="str" cm="1">
        <f t="array" ref="O7">CONCATENATE("I'm using mealpy library to solve Job-Shop Scheduling Problem. My problem instance has ",_xlfn.CHOOSECOLS(_xlfn.TEXTSPLIT(D7,"_"),1)," jobs and ", _xlfn.CHOOSECOLS(_xlfn.TEXTSPLIT(D7,"_"),2),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8" spans="1:15" x14ac:dyDescent="0.25">
      <c r="A8" s="8" t="s">
        <v>68</v>
      </c>
      <c r="B8" s="8" t="s">
        <v>67</v>
      </c>
      <c r="C8" s="8" t="s">
        <v>18</v>
      </c>
      <c r="D8" s="8" t="s">
        <v>74</v>
      </c>
      <c r="E8" s="8" t="s">
        <v>107</v>
      </c>
      <c r="F8" s="8" t="s">
        <v>38</v>
      </c>
      <c r="G8" s="8">
        <v>1000</v>
      </c>
      <c r="H8" s="8">
        <v>100</v>
      </c>
      <c r="I8" s="8">
        <v>0.8</v>
      </c>
      <c r="J8" s="8">
        <v>0.2</v>
      </c>
      <c r="K8" s="8" t="s">
        <v>48</v>
      </c>
      <c r="L8" s="8" t="s">
        <v>49</v>
      </c>
      <c r="M8" s="9" t="s">
        <v>50</v>
      </c>
      <c r="N8" s="8" t="s">
        <v>62</v>
      </c>
      <c r="O8" s="8" t="str" cm="1">
        <f t="array" ref="O8">CONCATENATE("I'm using mealpy library to solve Job-Shop Scheduling Problem. My problem instance has ",_xlfn.CHOOSECOLS(_xlfn.TEXTSPLIT(D8,"_"),1)," jobs and ", _xlfn.CHOOSECOLS(_xlfn.TEXTSPLIT(D8,"_"),2),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15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9" spans="1:15" x14ac:dyDescent="0.25">
      <c r="A9" s="8" t="s">
        <v>68</v>
      </c>
      <c r="B9" s="8" t="s">
        <v>67</v>
      </c>
      <c r="C9" s="8" t="s">
        <v>24</v>
      </c>
      <c r="D9" s="8" t="s">
        <v>73</v>
      </c>
      <c r="E9" s="8" t="s">
        <v>107</v>
      </c>
      <c r="F9" s="8" t="s">
        <v>38</v>
      </c>
      <c r="G9" s="8">
        <v>10000</v>
      </c>
      <c r="H9" s="8">
        <v>100</v>
      </c>
      <c r="I9" s="8">
        <v>0.9</v>
      </c>
      <c r="J9" s="8">
        <v>0.1</v>
      </c>
      <c r="K9" s="8" t="s">
        <v>48</v>
      </c>
      <c r="L9" s="8" t="s">
        <v>49</v>
      </c>
      <c r="M9" s="9" t="s">
        <v>50</v>
      </c>
      <c r="N9" s="8" t="s">
        <v>62</v>
      </c>
      <c r="O9" s="8" t="str" cm="1">
        <f t="array" ref="O9">CONCATENATE("I'm using mealpy library to solve Job-Shop Scheduling Problem. My problem instance has ",_xlfn.CHOOSECOLS(_xlfn.TEXTSPLIT(D9,"_"),1)," jobs and ", _xlfn.CHOOSECOLS(_xlfn.TEXTSPLIT(D9,"_"),2),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20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0" spans="1:15" x14ac:dyDescent="0.25">
      <c r="A10" s="8" t="s">
        <v>68</v>
      </c>
      <c r="B10" s="8" t="s">
        <v>67</v>
      </c>
      <c r="C10" s="8" t="s">
        <v>19</v>
      </c>
      <c r="D10" s="8" t="s">
        <v>71</v>
      </c>
      <c r="E10" s="8" t="s">
        <v>107</v>
      </c>
      <c r="F10" s="8" t="s">
        <v>38</v>
      </c>
      <c r="G10" s="8">
        <v>500</v>
      </c>
      <c r="H10" s="8">
        <v>100</v>
      </c>
      <c r="I10" s="8">
        <v>0.8</v>
      </c>
      <c r="J10" s="8">
        <v>0.1</v>
      </c>
      <c r="K10" s="8" t="s">
        <v>48</v>
      </c>
      <c r="L10" s="8" t="s">
        <v>49</v>
      </c>
      <c r="M10" s="9" t="s">
        <v>50</v>
      </c>
      <c r="N10" s="8" t="s">
        <v>62</v>
      </c>
      <c r="O10" s="8" t="str" cm="1">
        <f t="array" ref="O10">CONCATENATE("I'm using mealpy library to solve Job-Shop Scheduling Problem. My problem instance has ",_xlfn.CHOOSECOLS(_xlfn.TEXTSPLIT(D10,"_"),1)," jobs and ", _xlfn.CHOOSECOLS(_xlfn.TEXTSPLIT(D10,"_"),2),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1" spans="1:15" x14ac:dyDescent="0.25">
      <c r="A11" s="8" t="s">
        <v>68</v>
      </c>
      <c r="B11" s="8" t="s">
        <v>67</v>
      </c>
      <c r="C11" s="8" t="s">
        <v>20</v>
      </c>
      <c r="D11" s="8" t="s">
        <v>71</v>
      </c>
      <c r="E11" s="8" t="s">
        <v>107</v>
      </c>
      <c r="F11" s="8" t="s">
        <v>38</v>
      </c>
      <c r="G11" s="8">
        <v>500</v>
      </c>
      <c r="H11" s="8">
        <v>200</v>
      </c>
      <c r="I11" s="8">
        <v>0.8</v>
      </c>
      <c r="J11" s="8">
        <v>0.2</v>
      </c>
      <c r="K11" s="8" t="s">
        <v>48</v>
      </c>
      <c r="L11" s="8" t="s">
        <v>49</v>
      </c>
      <c r="M11" s="9" t="s">
        <v>50</v>
      </c>
      <c r="N11" s="8" t="s">
        <v>62</v>
      </c>
      <c r="O11" s="8" t="str" cm="1">
        <f t="array" ref="O11">CONCATENATE("I'm using mealpy library to solve Job-Shop Scheduling Problem. My problem instance has ",_xlfn.CHOOSECOLS(_xlfn.TEXTSPLIT(D11,"_"),1)," jobs and ", _xlfn.CHOOSECOLS(_xlfn.TEXTSPLIT(D11,"_"),2),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2" spans="1:15" x14ac:dyDescent="0.25">
      <c r="A12" s="8" t="s">
        <v>68</v>
      </c>
      <c r="B12" s="8" t="s">
        <v>67</v>
      </c>
      <c r="C12" s="8" t="s">
        <v>16</v>
      </c>
      <c r="D12" s="8" t="s">
        <v>71</v>
      </c>
      <c r="E12" s="8" t="s">
        <v>109</v>
      </c>
      <c r="F12" s="8" t="s">
        <v>38</v>
      </c>
      <c r="G12" s="8">
        <v>5000</v>
      </c>
      <c r="H12" s="8">
        <v>100</v>
      </c>
      <c r="I12" s="8">
        <v>0.8</v>
      </c>
      <c r="J12" s="8">
        <v>0.1</v>
      </c>
      <c r="K12" s="8" t="s">
        <v>48</v>
      </c>
      <c r="L12" s="8" t="s">
        <v>49</v>
      </c>
      <c r="M12" s="9" t="s">
        <v>50</v>
      </c>
      <c r="N12" s="8" t="s">
        <v>62</v>
      </c>
      <c r="O12" s="8" t="str" cm="1">
        <f t="array" ref="O12">CONCATENATE("I'm using mealpy library to solve Job-Shop Scheduling Problem. My problem instance has ",_xlfn.CHOOSECOLS(_xlfn.TEXTSPLIT(D12,"_"),1)," jobs and ", _xlfn.CHOOSECOLS(_xlfn.TEXTSPLIT(D12,"_"),2),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3" spans="1:15" x14ac:dyDescent="0.25">
      <c r="A13" s="8" t="s">
        <v>68</v>
      </c>
      <c r="B13" s="8" t="s">
        <v>67</v>
      </c>
      <c r="C13" s="8" t="s">
        <v>22</v>
      </c>
      <c r="D13" s="8" t="s">
        <v>71</v>
      </c>
      <c r="E13" s="8" t="s">
        <v>109</v>
      </c>
      <c r="F13" s="8" t="s">
        <v>38</v>
      </c>
      <c r="G13" s="8">
        <v>10000</v>
      </c>
      <c r="H13" s="8">
        <v>100</v>
      </c>
      <c r="I13" s="8">
        <v>0.9</v>
      </c>
      <c r="J13" s="8">
        <v>0.1</v>
      </c>
      <c r="K13" s="8" t="s">
        <v>48</v>
      </c>
      <c r="L13" s="8" t="s">
        <v>60</v>
      </c>
      <c r="M13" s="9" t="s">
        <v>61</v>
      </c>
      <c r="N13" s="8" t="s">
        <v>62</v>
      </c>
      <c r="O13" s="8" t="str" cm="1">
        <f t="array" ref="O13">CONCATENATE("I'm using mealpy library to solve Job-Shop Scheduling Problem. My problem instance has ",_xlfn.CHOOSECOLS(_xlfn.TEXTSPLIT(D13,"_"),1)," jobs and ", _xlfn.CHOOSECOLS(_xlfn.TEXTSPLIT(D13,"_"),2),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4" spans="1:15" x14ac:dyDescent="0.25">
      <c r="A14" s="8" t="s">
        <v>68</v>
      </c>
      <c r="B14" s="8" t="s">
        <v>67</v>
      </c>
      <c r="C14" s="8" t="s">
        <v>17</v>
      </c>
      <c r="D14" s="8" t="s">
        <v>76</v>
      </c>
      <c r="E14" s="8" t="s">
        <v>109</v>
      </c>
      <c r="F14" s="8" t="s">
        <v>38</v>
      </c>
      <c r="G14" s="8">
        <v>1000</v>
      </c>
      <c r="H14" s="8">
        <v>50</v>
      </c>
      <c r="I14" s="8">
        <v>0.8</v>
      </c>
      <c r="J14" s="8">
        <v>0.1</v>
      </c>
      <c r="K14" s="8" t="s">
        <v>59</v>
      </c>
      <c r="L14" s="8" t="s">
        <v>60</v>
      </c>
      <c r="M14" s="9" t="s">
        <v>61</v>
      </c>
      <c r="N14" s="8" t="s">
        <v>62</v>
      </c>
      <c r="O14" s="8" t="str" cm="1">
        <f t="array" ref="O14">CONCATENATE("I'm using mealpy library to solve Job-Shop Scheduling Problem. My problem instance has ",_xlfn.CHOOSECOLS(_xlfn.TEXTSPLIT(D14,"_"),1)," jobs and ", _xlfn.CHOOSECOLS(_xlfn.TEXTSPLIT(D14,"_"),2),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6 jobs and 6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5" spans="1:15" x14ac:dyDescent="0.25">
      <c r="A15" s="8" t="s">
        <v>68</v>
      </c>
      <c r="B15" s="8" t="s">
        <v>67</v>
      </c>
      <c r="C15" s="8" t="s">
        <v>21</v>
      </c>
      <c r="D15" s="8" t="s">
        <v>71</v>
      </c>
      <c r="E15" s="8" t="s">
        <v>109</v>
      </c>
      <c r="F15" s="8" t="s">
        <v>38</v>
      </c>
      <c r="G15" s="8">
        <v>10000</v>
      </c>
      <c r="H15" s="8">
        <v>100</v>
      </c>
      <c r="I15" s="8">
        <v>0.9</v>
      </c>
      <c r="J15" s="8">
        <v>0.1</v>
      </c>
      <c r="K15" s="8" t="s">
        <v>48</v>
      </c>
      <c r="L15" s="8" t="s">
        <v>60</v>
      </c>
      <c r="M15" s="9" t="s">
        <v>50</v>
      </c>
      <c r="N15" s="8" t="s">
        <v>62</v>
      </c>
      <c r="O15" s="8" t="str" cm="1">
        <f t="array" ref="O15">CONCATENATE("I'm using mealpy library to solve Job-Shop Scheduling Problem. My problem instance has ",_xlfn.CHOOSECOLS(_xlfn.TEXTSPLIT(D15,"_"),1)," jobs and ", _xlfn.CHOOSECOLS(_xlfn.TEXTSPLIT(D15,"_"),2),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6" spans="1:15" x14ac:dyDescent="0.25">
      <c r="A16" s="8" t="s">
        <v>68</v>
      </c>
      <c r="B16" s="8" t="s">
        <v>67</v>
      </c>
      <c r="C16" s="8" t="s">
        <v>72</v>
      </c>
      <c r="D16" s="8" t="s">
        <v>75</v>
      </c>
      <c r="E16" s="8" t="s">
        <v>109</v>
      </c>
      <c r="F16" s="8" t="s">
        <v>38</v>
      </c>
      <c r="G16" s="8">
        <v>500</v>
      </c>
      <c r="H16" s="8">
        <v>50</v>
      </c>
      <c r="I16" s="8">
        <v>0.8</v>
      </c>
      <c r="J16" s="8">
        <v>0.1</v>
      </c>
      <c r="K16" s="8" t="s">
        <v>48</v>
      </c>
      <c r="L16" s="8" t="s">
        <v>49</v>
      </c>
      <c r="M16" s="9" t="s">
        <v>61</v>
      </c>
      <c r="N16" s="8" t="s">
        <v>62</v>
      </c>
      <c r="O16" s="8" t="str" cm="1">
        <f t="array" ref="O16">CONCATENATE("I'm using mealpy library to solve Job-Shop Scheduling Problem. My problem instance has ",_xlfn.CHOOSECOLS(_xlfn.TEXTSPLIT(D16,"_"),1)," jobs and ", _xlfn.CHOOSECOLS(_xlfn.TEXTSPLIT(D16,"_"),2),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7" spans="1:15" x14ac:dyDescent="0.25">
      <c r="A17" s="8" t="s">
        <v>68</v>
      </c>
      <c r="B17" s="8" t="s">
        <v>67</v>
      </c>
      <c r="C17" s="8" t="s">
        <v>23</v>
      </c>
      <c r="D17" s="8" t="s">
        <v>75</v>
      </c>
      <c r="E17" s="8" t="s">
        <v>109</v>
      </c>
      <c r="F17" s="8" t="s">
        <v>38</v>
      </c>
      <c r="G17" s="8">
        <v>1000</v>
      </c>
      <c r="H17" s="8">
        <v>100</v>
      </c>
      <c r="I17" s="8">
        <v>0.8</v>
      </c>
      <c r="J17" s="8">
        <v>0.1</v>
      </c>
      <c r="K17" s="8" t="s">
        <v>48</v>
      </c>
      <c r="L17" s="8" t="s">
        <v>60</v>
      </c>
      <c r="M17" s="9" t="s">
        <v>50</v>
      </c>
      <c r="N17" s="8" t="s">
        <v>62</v>
      </c>
      <c r="O17" s="8" t="str" cm="1">
        <f t="array" ref="O17">CONCATENATE("I'm using mealpy library to solve Job-Shop Scheduling Problem. My problem instance has ",_xlfn.CHOOSECOLS(_xlfn.TEXTSPLIT(D17,"_"),1)," jobs and ", _xlfn.CHOOSECOLS(_xlfn.TEXTSPLIT(D17,"_"),2),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8" spans="1:15" x14ac:dyDescent="0.25">
      <c r="A18" s="8" t="s">
        <v>68</v>
      </c>
      <c r="B18" s="8" t="s">
        <v>67</v>
      </c>
      <c r="C18" s="8" t="s">
        <v>18</v>
      </c>
      <c r="D18" s="8" t="s">
        <v>74</v>
      </c>
      <c r="E18" s="8" t="s">
        <v>109</v>
      </c>
      <c r="F18" s="8" t="s">
        <v>38</v>
      </c>
      <c r="G18" s="8">
        <v>1000</v>
      </c>
      <c r="H18" s="8">
        <v>100</v>
      </c>
      <c r="I18" s="8">
        <v>0.8</v>
      </c>
      <c r="J18" s="8">
        <v>0.1</v>
      </c>
      <c r="K18" s="8" t="s">
        <v>48</v>
      </c>
      <c r="L18" s="8" t="s">
        <v>60</v>
      </c>
      <c r="M18" s="9" t="s">
        <v>61</v>
      </c>
      <c r="N18" s="8" t="s">
        <v>62</v>
      </c>
      <c r="O18" s="8" t="str" cm="1">
        <f t="array" ref="O18">CONCATENATE("I'm using mealpy library to solve Job-Shop Scheduling Problem. My problem instance has ",_xlfn.CHOOSECOLS(_xlfn.TEXTSPLIT(D18,"_"),1)," jobs and ", _xlfn.CHOOSECOLS(_xlfn.TEXTSPLIT(D18,"_"),2),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15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9" spans="1:15" x14ac:dyDescent="0.25">
      <c r="A19" s="8" t="s">
        <v>68</v>
      </c>
      <c r="B19" s="8" t="s">
        <v>67</v>
      </c>
      <c r="C19" s="8" t="s">
        <v>24</v>
      </c>
      <c r="D19" s="8" t="s">
        <v>73</v>
      </c>
      <c r="E19" s="8" t="s">
        <v>109</v>
      </c>
      <c r="F19" s="8" t="s">
        <v>38</v>
      </c>
      <c r="G19" s="8">
        <v>10000</v>
      </c>
      <c r="H19" s="8">
        <v>100</v>
      </c>
      <c r="I19" s="8">
        <v>0.8</v>
      </c>
      <c r="J19" s="8">
        <v>0.1</v>
      </c>
      <c r="K19" s="8" t="s">
        <v>48</v>
      </c>
      <c r="L19" s="8" t="s">
        <v>49</v>
      </c>
      <c r="M19" s="9" t="s">
        <v>61</v>
      </c>
      <c r="N19" s="8" t="s">
        <v>62</v>
      </c>
      <c r="O19" s="8" t="str" cm="1">
        <f t="array" ref="O19">CONCATENATE("I'm using mealpy library to solve Job-Shop Scheduling Problem. My problem instance has ",_xlfn.CHOOSECOLS(_xlfn.TEXTSPLIT(D19,"_"),1)," jobs and ", _xlfn.CHOOSECOLS(_xlfn.TEXTSPLIT(D19,"_"),2),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20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0" spans="1:15" x14ac:dyDescent="0.25">
      <c r="A20" s="8" t="s">
        <v>68</v>
      </c>
      <c r="B20" s="8" t="s">
        <v>67</v>
      </c>
      <c r="C20" s="8" t="s">
        <v>19</v>
      </c>
      <c r="D20" s="8" t="s">
        <v>71</v>
      </c>
      <c r="E20" s="8" t="s">
        <v>109</v>
      </c>
      <c r="F20" s="8" t="s">
        <v>38</v>
      </c>
      <c r="G20" s="8">
        <v>5000</v>
      </c>
      <c r="H20" s="8">
        <v>100</v>
      </c>
      <c r="I20" s="8">
        <v>0.9</v>
      </c>
      <c r="J20" s="8">
        <v>0.1</v>
      </c>
      <c r="K20" s="8" t="s">
        <v>48</v>
      </c>
      <c r="L20" s="8" t="s">
        <v>49</v>
      </c>
      <c r="M20" s="9" t="s">
        <v>61</v>
      </c>
      <c r="N20" s="8" t="s">
        <v>62</v>
      </c>
      <c r="O20" s="8" t="str" cm="1">
        <f t="array" ref="O20">CONCATENATE("I'm using mealpy library to solve Job-Shop Scheduling Problem. My problem instance has ",_xlfn.CHOOSECOLS(_xlfn.TEXTSPLIT(D20,"_"),1)," jobs and ", _xlfn.CHOOSECOLS(_xlfn.TEXTSPLIT(D20,"_"),2),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1" spans="1:15" x14ac:dyDescent="0.25">
      <c r="A21" s="8" t="s">
        <v>68</v>
      </c>
      <c r="B21" s="8" t="s">
        <v>67</v>
      </c>
      <c r="C21" s="8" t="s">
        <v>20</v>
      </c>
      <c r="D21" s="8" t="s">
        <v>71</v>
      </c>
      <c r="E21" s="8" t="s">
        <v>109</v>
      </c>
      <c r="F21" s="8" t="s">
        <v>38</v>
      </c>
      <c r="G21" s="8">
        <v>5000</v>
      </c>
      <c r="H21" s="8">
        <v>100</v>
      </c>
      <c r="I21" s="8">
        <v>0.8</v>
      </c>
      <c r="J21" s="8">
        <v>0.1</v>
      </c>
      <c r="K21" s="8" t="s">
        <v>48</v>
      </c>
      <c r="L21" s="8" t="s">
        <v>60</v>
      </c>
      <c r="M21" s="9" t="s">
        <v>61</v>
      </c>
      <c r="N21" s="8" t="s">
        <v>62</v>
      </c>
      <c r="O21" s="8" t="str" cm="1">
        <f t="array" ref="O21">CONCATENATE("I'm using mealpy library to solve Job-Shop Scheduling Problem. My problem instance has ",_xlfn.CHOOSECOLS(_xlfn.TEXTSPLIT(D21,"_"),1)," jobs and ", _xlfn.CHOOSECOLS(_xlfn.TEXTSPLIT(D21,"_"),2),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2" spans="1:15" x14ac:dyDescent="0.25">
      <c r="A22" s="8" t="s">
        <v>68</v>
      </c>
      <c r="B22" s="8" t="s">
        <v>67</v>
      </c>
      <c r="C22" s="8" t="s">
        <v>16</v>
      </c>
      <c r="D22" s="8" t="s">
        <v>71</v>
      </c>
      <c r="E22" s="8" t="s">
        <v>8</v>
      </c>
      <c r="F22" s="8" t="s">
        <v>38</v>
      </c>
      <c r="G22" s="8">
        <v>200</v>
      </c>
      <c r="H22" s="8">
        <v>50</v>
      </c>
      <c r="I22" s="8">
        <v>0.9</v>
      </c>
      <c r="J22" s="8">
        <v>0.1</v>
      </c>
      <c r="K22" s="8" t="s">
        <v>48</v>
      </c>
      <c r="L22" s="8" t="s">
        <v>63</v>
      </c>
      <c r="M22" s="9" t="s">
        <v>50</v>
      </c>
      <c r="N22" s="8" t="s">
        <v>62</v>
      </c>
      <c r="O22" s="8" t="str" cm="1">
        <f t="array" ref="O22">CONCATENATE("I'm using mealpy library to solve Job-Shop Scheduling Problem. My problem instance has ",_xlfn.CHOOSECOLS(_xlfn.TEXTSPLIT(D22,"_"),1)," jobs and ", _xlfn.CHOOSECOLS(_xlfn.TEXTSPLIT(D22,"_"),2),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3" spans="1:15" x14ac:dyDescent="0.25">
      <c r="A23" s="8" t="s">
        <v>68</v>
      </c>
      <c r="B23" s="8" t="s">
        <v>67</v>
      </c>
      <c r="C23" s="8" t="s">
        <v>22</v>
      </c>
      <c r="D23" s="8" t="s">
        <v>71</v>
      </c>
      <c r="E23" s="8" t="s">
        <v>8</v>
      </c>
      <c r="F23" s="8" t="s">
        <v>38</v>
      </c>
      <c r="G23" s="8">
        <v>200</v>
      </c>
      <c r="H23" s="8">
        <v>50</v>
      </c>
      <c r="I23" s="8">
        <v>0.9</v>
      </c>
      <c r="J23" s="8">
        <v>0.2</v>
      </c>
      <c r="K23" s="8" t="s">
        <v>48</v>
      </c>
      <c r="L23" s="8" t="s">
        <v>63</v>
      </c>
      <c r="M23" s="9" t="s">
        <v>50</v>
      </c>
      <c r="N23" s="8" t="s">
        <v>62</v>
      </c>
      <c r="O23" s="8" t="str" cm="1">
        <f t="array" ref="O23">CONCATENATE("I'm using mealpy library to solve Job-Shop Scheduling Problem. My problem instance has ",_xlfn.CHOOSECOLS(_xlfn.TEXTSPLIT(D23,"_"),1)," jobs and ", _xlfn.CHOOSECOLS(_xlfn.TEXTSPLIT(D23,"_"),2),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4" spans="1:15" x14ac:dyDescent="0.25">
      <c r="A24" s="8" t="s">
        <v>68</v>
      </c>
      <c r="B24" s="8" t="s">
        <v>67</v>
      </c>
      <c r="C24" s="8" t="s">
        <v>17</v>
      </c>
      <c r="D24" s="8" t="s">
        <v>76</v>
      </c>
      <c r="E24" s="8" t="s">
        <v>8</v>
      </c>
      <c r="F24" s="8" t="s">
        <v>38</v>
      </c>
      <c r="G24" s="8">
        <v>200</v>
      </c>
      <c r="H24" s="8">
        <v>50</v>
      </c>
      <c r="I24" s="8">
        <v>0.9</v>
      </c>
      <c r="J24" s="8">
        <v>0.1</v>
      </c>
      <c r="K24" s="8" t="s">
        <v>48</v>
      </c>
      <c r="L24" s="8" t="s">
        <v>63</v>
      </c>
      <c r="M24" s="9" t="s">
        <v>50</v>
      </c>
      <c r="N24" s="8" t="s">
        <v>62</v>
      </c>
      <c r="O24" s="8" t="str" cm="1">
        <f t="array" ref="O24">CONCATENATE("I'm using mealpy library to solve Job-Shop Scheduling Problem. My problem instance has ",_xlfn.CHOOSECOLS(_xlfn.TEXTSPLIT(D24,"_"),1)," jobs and ", _xlfn.CHOOSECOLS(_xlfn.TEXTSPLIT(D24,"_"),2),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6 jobs and 6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5" spans="1:15" x14ac:dyDescent="0.25">
      <c r="A25" s="8" t="s">
        <v>68</v>
      </c>
      <c r="B25" s="8" t="s">
        <v>67</v>
      </c>
      <c r="C25" s="8" t="s">
        <v>21</v>
      </c>
      <c r="D25" s="8" t="s">
        <v>71</v>
      </c>
      <c r="E25" s="8" t="s">
        <v>8</v>
      </c>
      <c r="F25" s="8" t="s">
        <v>38</v>
      </c>
      <c r="G25" s="8">
        <v>500</v>
      </c>
      <c r="H25" s="8">
        <v>50</v>
      </c>
      <c r="I25" s="8">
        <v>0.9</v>
      </c>
      <c r="J25" s="8">
        <v>0.1</v>
      </c>
      <c r="K25" s="8" t="s">
        <v>48</v>
      </c>
      <c r="L25" s="8" t="s">
        <v>63</v>
      </c>
      <c r="M25" s="9" t="s">
        <v>50</v>
      </c>
      <c r="N25" s="8" t="s">
        <v>62</v>
      </c>
      <c r="O25" s="8" t="str" cm="1">
        <f t="array" ref="O25">CONCATENATE("I'm using mealpy library to solve Job-Shop Scheduling Problem. My problem instance has ",_xlfn.CHOOSECOLS(_xlfn.TEXTSPLIT(D25,"_"),1)," jobs and ", _xlfn.CHOOSECOLS(_xlfn.TEXTSPLIT(D25,"_"),2),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6" spans="1:15" x14ac:dyDescent="0.25">
      <c r="A26" s="8" t="s">
        <v>68</v>
      </c>
      <c r="B26" s="8" t="s">
        <v>67</v>
      </c>
      <c r="C26" s="8" t="s">
        <v>72</v>
      </c>
      <c r="D26" s="8" t="s">
        <v>75</v>
      </c>
      <c r="E26" s="8" t="s">
        <v>8</v>
      </c>
      <c r="F26" s="8" t="s">
        <v>38</v>
      </c>
      <c r="G26" s="8">
        <v>200</v>
      </c>
      <c r="H26" s="8">
        <v>50</v>
      </c>
      <c r="I26" s="8">
        <v>0.95</v>
      </c>
      <c r="J26" s="8">
        <v>0.01</v>
      </c>
      <c r="K26" s="8" t="s">
        <v>48</v>
      </c>
      <c r="L26" s="8" t="s">
        <v>63</v>
      </c>
      <c r="M26" s="9" t="s">
        <v>50</v>
      </c>
      <c r="N26" s="8" t="s">
        <v>62</v>
      </c>
      <c r="O26" s="8" t="str" cm="1">
        <f t="array" ref="O26">CONCATENATE("I'm using mealpy library to solve Job-Shop Scheduling Problem. My problem instance has ",_xlfn.CHOOSECOLS(_xlfn.TEXTSPLIT(D26,"_"),1)," jobs and ", _xlfn.CHOOSECOLS(_xlfn.TEXTSPLIT(D26,"_"),2),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7" spans="1:15" x14ac:dyDescent="0.25">
      <c r="A27" s="8" t="s">
        <v>68</v>
      </c>
      <c r="B27" s="8" t="s">
        <v>67</v>
      </c>
      <c r="C27" s="8" t="s">
        <v>23</v>
      </c>
      <c r="D27" s="8" t="s">
        <v>75</v>
      </c>
      <c r="E27" s="8" t="s">
        <v>8</v>
      </c>
      <c r="F27" s="8" t="s">
        <v>38</v>
      </c>
      <c r="G27" s="8">
        <v>200</v>
      </c>
      <c r="H27" s="8">
        <v>50</v>
      </c>
      <c r="I27" s="8">
        <v>0.9</v>
      </c>
      <c r="J27" s="8">
        <v>0.1</v>
      </c>
      <c r="K27" s="8" t="s">
        <v>48</v>
      </c>
      <c r="L27" s="8" t="s">
        <v>63</v>
      </c>
      <c r="M27" s="9" t="s">
        <v>50</v>
      </c>
      <c r="N27" s="8" t="s">
        <v>62</v>
      </c>
      <c r="O27" s="8" t="str" cm="1">
        <f t="array" ref="O27">CONCATENATE("I'm using mealpy library to solve Job-Shop Scheduling Problem. My problem instance has ",_xlfn.CHOOSECOLS(_xlfn.TEXTSPLIT(D27,"_"),1)," jobs and ", _xlfn.CHOOSECOLS(_xlfn.TEXTSPLIT(D27,"_"),2),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8" spans="1:15" x14ac:dyDescent="0.25">
      <c r="A28" s="8" t="s">
        <v>68</v>
      </c>
      <c r="B28" s="8" t="s">
        <v>67</v>
      </c>
      <c r="C28" s="8" t="s">
        <v>18</v>
      </c>
      <c r="D28" s="8" t="s">
        <v>74</v>
      </c>
      <c r="E28" s="8" t="s">
        <v>8</v>
      </c>
      <c r="F28" s="8" t="s">
        <v>38</v>
      </c>
      <c r="G28" s="8">
        <v>200</v>
      </c>
      <c r="H28" s="8">
        <v>50</v>
      </c>
      <c r="I28" s="8">
        <v>0.9</v>
      </c>
      <c r="J28" s="8">
        <v>0.1</v>
      </c>
      <c r="K28" s="8" t="s">
        <v>48</v>
      </c>
      <c r="L28" s="8" t="s">
        <v>63</v>
      </c>
      <c r="M28" s="9" t="s">
        <v>50</v>
      </c>
      <c r="N28" s="8" t="s">
        <v>62</v>
      </c>
      <c r="O28" s="8" t="str" cm="1">
        <f t="array" ref="O28">CONCATENATE("I'm using mealpy library to solve Job-Shop Scheduling Problem. My problem instance has ",_xlfn.CHOOSECOLS(_xlfn.TEXTSPLIT(D28,"_"),1)," jobs and ", _xlfn.CHOOSECOLS(_xlfn.TEXTSPLIT(D28,"_"),2),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15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9" spans="1:15" x14ac:dyDescent="0.25">
      <c r="A29" s="8" t="s">
        <v>68</v>
      </c>
      <c r="B29" s="8" t="s">
        <v>67</v>
      </c>
      <c r="C29" s="8" t="s">
        <v>24</v>
      </c>
      <c r="D29" s="8" t="s">
        <v>73</v>
      </c>
      <c r="E29" s="8" t="s">
        <v>8</v>
      </c>
      <c r="F29" s="8" t="s">
        <v>38</v>
      </c>
      <c r="G29" s="8">
        <v>200</v>
      </c>
      <c r="H29" s="8">
        <v>50</v>
      </c>
      <c r="I29" s="8">
        <v>0.9</v>
      </c>
      <c r="J29" s="8">
        <v>0.1</v>
      </c>
      <c r="K29" s="8" t="s">
        <v>48</v>
      </c>
      <c r="L29" s="8" t="s">
        <v>63</v>
      </c>
      <c r="M29" s="9" t="s">
        <v>50</v>
      </c>
      <c r="N29" s="8" t="s">
        <v>62</v>
      </c>
      <c r="O29" s="8" t="str" cm="1">
        <f t="array" ref="O29">CONCATENATE("I'm using mealpy library to solve Job-Shop Scheduling Problem. My problem instance has ",_xlfn.CHOOSECOLS(_xlfn.TEXTSPLIT(D29,"_"),1)," jobs and ", _xlfn.CHOOSECOLS(_xlfn.TEXTSPLIT(D29,"_"),2),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20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0" spans="1:15" x14ac:dyDescent="0.25">
      <c r="A30" s="8" t="s">
        <v>68</v>
      </c>
      <c r="B30" s="8" t="s">
        <v>67</v>
      </c>
      <c r="C30" s="8" t="s">
        <v>19</v>
      </c>
      <c r="D30" s="8" t="s">
        <v>71</v>
      </c>
      <c r="E30" s="8" t="s">
        <v>8</v>
      </c>
      <c r="F30" s="8" t="s">
        <v>38</v>
      </c>
      <c r="G30" s="8">
        <v>200</v>
      </c>
      <c r="H30" s="8">
        <v>50</v>
      </c>
      <c r="I30" s="8">
        <v>0.9</v>
      </c>
      <c r="J30" s="8">
        <v>0.1</v>
      </c>
      <c r="K30" s="8" t="s">
        <v>48</v>
      </c>
      <c r="L30" s="8" t="s">
        <v>63</v>
      </c>
      <c r="M30" s="9" t="s">
        <v>50</v>
      </c>
      <c r="N30" s="8" t="s">
        <v>62</v>
      </c>
      <c r="O30" s="8" t="str" cm="1">
        <f t="array" ref="O30">CONCATENATE("I'm using mealpy library to solve Job-Shop Scheduling Problem. My problem instance has ",_xlfn.CHOOSECOLS(_xlfn.TEXTSPLIT(D30,"_"),1)," jobs and ", _xlfn.CHOOSECOLS(_xlfn.TEXTSPLIT(D30,"_"),2),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1" spans="1:15" x14ac:dyDescent="0.25">
      <c r="A31" s="8" t="s">
        <v>68</v>
      </c>
      <c r="B31" s="8" t="s">
        <v>67</v>
      </c>
      <c r="C31" s="8" t="s">
        <v>20</v>
      </c>
      <c r="D31" s="8" t="s">
        <v>71</v>
      </c>
      <c r="E31" s="8" t="s">
        <v>8</v>
      </c>
      <c r="F31" s="8" t="s">
        <v>38</v>
      </c>
      <c r="G31" s="8">
        <v>500</v>
      </c>
      <c r="H31" s="8">
        <v>50</v>
      </c>
      <c r="I31" s="8">
        <v>0.9</v>
      </c>
      <c r="J31" s="8">
        <v>0.1</v>
      </c>
      <c r="K31" s="8" t="s">
        <v>48</v>
      </c>
      <c r="L31" s="8" t="s">
        <v>63</v>
      </c>
      <c r="M31" s="9" t="s">
        <v>50</v>
      </c>
      <c r="N31" s="8" t="s">
        <v>62</v>
      </c>
      <c r="O31" s="8" t="str" cm="1">
        <f t="array" ref="O31">CONCATENATE("I'm using mealpy library to solve Job-Shop Scheduling Problem. My problem instance has ",_xlfn.CHOOSECOLS(_xlfn.TEXTSPLIT(D31,"_"),1)," jobs and ", _xlfn.CHOOSECOLS(_xlfn.TEXTSPLIT(D31,"_"),2),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2" spans="1:15" x14ac:dyDescent="0.25">
      <c r="A32" s="8" t="s">
        <v>68</v>
      </c>
      <c r="B32" s="8" t="s">
        <v>67</v>
      </c>
      <c r="C32" s="8" t="s">
        <v>16</v>
      </c>
      <c r="D32" s="8" t="s">
        <v>71</v>
      </c>
      <c r="E32" s="8" t="s">
        <v>110</v>
      </c>
      <c r="F32" s="8" t="s">
        <v>38</v>
      </c>
      <c r="G32" s="8">
        <v>1000</v>
      </c>
      <c r="H32" s="8">
        <v>100</v>
      </c>
      <c r="I32" s="8">
        <v>0.8</v>
      </c>
      <c r="J32" s="8">
        <v>0.2</v>
      </c>
      <c r="K32" s="8" t="s">
        <v>48</v>
      </c>
      <c r="L32" s="8" t="s">
        <v>63</v>
      </c>
      <c r="M32" s="9" t="s">
        <v>50</v>
      </c>
      <c r="N32" s="8" t="s">
        <v>62</v>
      </c>
      <c r="O32" s="8" t="str" cm="1">
        <f t="array" ref="O32">CONCATENATE("I'm using mealpy library to solve Job-Shop Scheduling Problem. My problem instance has ",_xlfn.CHOOSECOLS(_xlfn.TEXTSPLIT(D32,"_"),1)," jobs and ", _xlfn.CHOOSECOLS(_xlfn.TEXTSPLIT(D32,"_"),2),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3" spans="1:15" x14ac:dyDescent="0.25">
      <c r="A33" s="8" t="s">
        <v>68</v>
      </c>
      <c r="B33" s="8" t="s">
        <v>67</v>
      </c>
      <c r="C33" s="8" t="s">
        <v>22</v>
      </c>
      <c r="D33" s="8" t="s">
        <v>71</v>
      </c>
      <c r="E33" s="8" t="s">
        <v>110</v>
      </c>
      <c r="F33" s="8" t="s">
        <v>38</v>
      </c>
      <c r="G33" s="8">
        <v>1000</v>
      </c>
      <c r="H33" s="8">
        <v>100</v>
      </c>
      <c r="I33" s="8">
        <v>0.9</v>
      </c>
      <c r="J33" s="8">
        <v>0.1</v>
      </c>
      <c r="K33" s="8" t="s">
        <v>48</v>
      </c>
      <c r="L33" s="8" t="s">
        <v>63</v>
      </c>
      <c r="M33" s="9" t="s">
        <v>50</v>
      </c>
      <c r="N33" s="8" t="s">
        <v>62</v>
      </c>
      <c r="O33" s="8" t="str" cm="1">
        <f t="array" ref="O33">CONCATENATE("I'm using mealpy library to solve Job-Shop Scheduling Problem. My problem instance has ",_xlfn.CHOOSECOLS(_xlfn.TEXTSPLIT(D33,"_"),1)," jobs and ", _xlfn.CHOOSECOLS(_xlfn.TEXTSPLIT(D33,"_"),2),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4" spans="1:15" x14ac:dyDescent="0.25">
      <c r="A34" s="8" t="s">
        <v>68</v>
      </c>
      <c r="B34" s="8" t="s">
        <v>67</v>
      </c>
      <c r="C34" s="8" t="s">
        <v>17</v>
      </c>
      <c r="D34" s="8" t="s">
        <v>76</v>
      </c>
      <c r="E34" s="8" t="s">
        <v>110</v>
      </c>
      <c r="F34" s="8" t="s">
        <v>38</v>
      </c>
      <c r="G34" s="8">
        <v>1000</v>
      </c>
      <c r="H34" s="8">
        <v>50</v>
      </c>
      <c r="I34" s="8">
        <v>0.8</v>
      </c>
      <c r="J34" s="8">
        <v>0.1</v>
      </c>
      <c r="K34" s="8" t="s">
        <v>48</v>
      </c>
      <c r="L34" s="8" t="s">
        <v>63</v>
      </c>
      <c r="M34" s="9" t="s">
        <v>50</v>
      </c>
      <c r="N34" s="8" t="s">
        <v>62</v>
      </c>
      <c r="O34" s="8" t="str" cm="1">
        <f t="array" ref="O34">CONCATENATE("I'm using mealpy library to solve Job-Shop Scheduling Problem. My problem instance has ",_xlfn.CHOOSECOLS(_xlfn.TEXTSPLIT(D34,"_"),1)," jobs and ", _xlfn.CHOOSECOLS(_xlfn.TEXTSPLIT(D34,"_"),2),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6 jobs and 6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5" spans="1:15" x14ac:dyDescent="0.25">
      <c r="A35" s="8" t="s">
        <v>68</v>
      </c>
      <c r="B35" s="8" t="s">
        <v>67</v>
      </c>
      <c r="C35" s="8" t="s">
        <v>21</v>
      </c>
      <c r="D35" s="8" t="s">
        <v>71</v>
      </c>
      <c r="E35" s="8" t="s">
        <v>110</v>
      </c>
      <c r="F35" s="8" t="s">
        <v>38</v>
      </c>
      <c r="G35" s="8">
        <v>1000</v>
      </c>
      <c r="H35" s="8">
        <v>100</v>
      </c>
      <c r="I35" s="8">
        <v>0.8</v>
      </c>
      <c r="J35" s="8">
        <v>0.1</v>
      </c>
      <c r="K35" s="8" t="s">
        <v>48</v>
      </c>
      <c r="L35" s="8" t="s">
        <v>63</v>
      </c>
      <c r="M35" s="9" t="s">
        <v>50</v>
      </c>
      <c r="N35" s="8" t="s">
        <v>62</v>
      </c>
      <c r="O35" s="8" t="str" cm="1">
        <f t="array" ref="O35">CONCATENATE("I'm using mealpy library to solve Job-Shop Scheduling Problem. My problem instance has ",_xlfn.CHOOSECOLS(_xlfn.TEXTSPLIT(D35,"_"),1)," jobs and ", _xlfn.CHOOSECOLS(_xlfn.TEXTSPLIT(D35,"_"),2),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6" spans="1:15" x14ac:dyDescent="0.25">
      <c r="A36" s="8" t="s">
        <v>68</v>
      </c>
      <c r="B36" s="8" t="s">
        <v>67</v>
      </c>
      <c r="C36" s="8" t="s">
        <v>72</v>
      </c>
      <c r="D36" s="8" t="s">
        <v>75</v>
      </c>
      <c r="E36" s="8" t="s">
        <v>110</v>
      </c>
      <c r="F36" s="8" t="s">
        <v>38</v>
      </c>
      <c r="G36" s="8">
        <v>1000</v>
      </c>
      <c r="H36" s="8">
        <v>50</v>
      </c>
      <c r="I36" s="8">
        <v>0.8</v>
      </c>
      <c r="J36" s="8">
        <v>0.1</v>
      </c>
      <c r="K36" s="8" t="s">
        <v>48</v>
      </c>
      <c r="L36" s="8" t="s">
        <v>63</v>
      </c>
      <c r="M36" s="9" t="s">
        <v>61</v>
      </c>
      <c r="N36" s="8" t="s">
        <v>62</v>
      </c>
      <c r="O36" s="8" t="str" cm="1">
        <f t="array" ref="O36">CONCATENATE("I'm using mealpy library to solve Job-Shop Scheduling Problem. My problem instance has ",_xlfn.CHOOSECOLS(_xlfn.TEXTSPLIT(D36,"_"),1)," jobs and ", _xlfn.CHOOSECOLS(_xlfn.TEXTSPLIT(D36,"_"),2),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7" spans="1:15" x14ac:dyDescent="0.25">
      <c r="A37" s="8" t="s">
        <v>68</v>
      </c>
      <c r="B37" s="8" t="s">
        <v>67</v>
      </c>
      <c r="C37" s="8" t="s">
        <v>23</v>
      </c>
      <c r="D37" s="8" t="s">
        <v>75</v>
      </c>
      <c r="E37" s="8" t="s">
        <v>110</v>
      </c>
      <c r="F37" s="8" t="s">
        <v>38</v>
      </c>
      <c r="G37" s="8">
        <v>10000</v>
      </c>
      <c r="H37" s="8">
        <v>100</v>
      </c>
      <c r="I37" s="8">
        <v>0.8</v>
      </c>
      <c r="J37" s="8">
        <v>0.1</v>
      </c>
      <c r="K37" s="8" t="s">
        <v>48</v>
      </c>
      <c r="L37" s="8" t="s">
        <v>63</v>
      </c>
      <c r="M37" s="9" t="s">
        <v>50</v>
      </c>
      <c r="N37" s="8" t="s">
        <v>62</v>
      </c>
      <c r="O37" s="8" t="str" cm="1">
        <f t="array" ref="O37">CONCATENATE("I'm using mealpy library to solve Job-Shop Scheduling Problem. My problem instance has ",_xlfn.CHOOSECOLS(_xlfn.TEXTSPLIT(D37,"_"),1)," jobs and ", _xlfn.CHOOSECOLS(_xlfn.TEXTSPLIT(D37,"_"),2),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8" spans="1:15" x14ac:dyDescent="0.25">
      <c r="A38" s="8" t="s">
        <v>68</v>
      </c>
      <c r="B38" s="8" t="s">
        <v>67</v>
      </c>
      <c r="C38" s="8" t="s">
        <v>18</v>
      </c>
      <c r="D38" s="8" t="s">
        <v>74</v>
      </c>
      <c r="E38" s="8" t="s">
        <v>110</v>
      </c>
      <c r="F38" s="8" t="s">
        <v>38</v>
      </c>
      <c r="G38" s="8">
        <v>1000</v>
      </c>
      <c r="H38" s="8">
        <v>100</v>
      </c>
      <c r="I38" s="8">
        <v>0.9</v>
      </c>
      <c r="J38" s="8">
        <v>0.1</v>
      </c>
      <c r="K38" s="8" t="s">
        <v>48</v>
      </c>
      <c r="L38" s="8" t="s">
        <v>49</v>
      </c>
      <c r="M38" s="9" t="s">
        <v>50</v>
      </c>
      <c r="N38" s="8" t="s">
        <v>62</v>
      </c>
      <c r="O38" s="8" t="str" cm="1">
        <f t="array" ref="O38">CONCATENATE("I'm using mealpy library to solve Job-Shop Scheduling Problem. My problem instance has ",_xlfn.CHOOSECOLS(_xlfn.TEXTSPLIT(D38,"_"),1)," jobs and ", _xlfn.CHOOSECOLS(_xlfn.TEXTSPLIT(D38,"_"),2),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15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9" spans="1:15" x14ac:dyDescent="0.25">
      <c r="A39" s="8" t="s">
        <v>68</v>
      </c>
      <c r="B39" s="8" t="s">
        <v>67</v>
      </c>
      <c r="C39" s="8" t="s">
        <v>24</v>
      </c>
      <c r="D39" s="8" t="s">
        <v>73</v>
      </c>
      <c r="E39" s="8" t="s">
        <v>110</v>
      </c>
      <c r="F39" s="8" t="s">
        <v>38</v>
      </c>
      <c r="G39" s="8">
        <v>10000</v>
      </c>
      <c r="H39" s="8">
        <v>100</v>
      </c>
      <c r="I39" s="8">
        <v>0.9</v>
      </c>
      <c r="J39" s="8">
        <v>0.1</v>
      </c>
      <c r="K39" s="8" t="s">
        <v>48</v>
      </c>
      <c r="L39" s="8" t="s">
        <v>49</v>
      </c>
      <c r="M39" s="9" t="s">
        <v>50</v>
      </c>
      <c r="N39" s="8" t="s">
        <v>62</v>
      </c>
      <c r="O39" s="8" t="str" cm="1">
        <f t="array" ref="O39">CONCATENATE("I'm using mealpy library to solve Job-Shop Scheduling Problem. My problem instance has ",_xlfn.CHOOSECOLS(_xlfn.TEXTSPLIT(D39,"_"),1)," jobs and ", _xlfn.CHOOSECOLS(_xlfn.TEXTSPLIT(D39,"_"),2),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20 jobs and 5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40" spans="1:15" x14ac:dyDescent="0.25">
      <c r="A40" s="8" t="s">
        <v>68</v>
      </c>
      <c r="B40" s="8" t="s">
        <v>67</v>
      </c>
      <c r="C40" s="8" t="s">
        <v>19</v>
      </c>
      <c r="D40" s="8" t="s">
        <v>71</v>
      </c>
      <c r="E40" s="8" t="s">
        <v>110</v>
      </c>
      <c r="F40" s="8" t="s">
        <v>38</v>
      </c>
      <c r="G40" s="8">
        <v>10000</v>
      </c>
      <c r="H40" s="8">
        <v>100</v>
      </c>
      <c r="I40" s="8">
        <v>0.8</v>
      </c>
      <c r="J40" s="8">
        <v>0.1</v>
      </c>
      <c r="K40" s="8" t="s">
        <v>48</v>
      </c>
      <c r="L40" s="8" t="s">
        <v>49</v>
      </c>
      <c r="M40" s="9" t="s">
        <v>50</v>
      </c>
      <c r="N40" s="8" t="s">
        <v>62</v>
      </c>
      <c r="O40" s="8" t="str" cm="1">
        <f t="array" ref="O40">CONCATENATE("I'm using mealpy library to solve Job-Shop Scheduling Problem. My problem instance has ",_xlfn.CHOOSECOLS(_xlfn.TEXTSPLIT(D40,"_"),1)," jobs and ", _xlfn.CHOOSECOLS(_xlfn.TEXTSPLIT(D40,"_"),2),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41" spans="1:15" x14ac:dyDescent="0.25">
      <c r="A41" s="8" t="s">
        <v>68</v>
      </c>
      <c r="B41" s="8" t="s">
        <v>67</v>
      </c>
      <c r="C41" s="8" t="s">
        <v>20</v>
      </c>
      <c r="D41" s="8" t="s">
        <v>71</v>
      </c>
      <c r="E41" s="8" t="s">
        <v>110</v>
      </c>
      <c r="F41" s="8" t="s">
        <v>38</v>
      </c>
      <c r="G41" s="8">
        <v>5000</v>
      </c>
      <c r="H41" s="8">
        <v>100</v>
      </c>
      <c r="I41" s="8">
        <v>0.8</v>
      </c>
      <c r="J41" s="8">
        <v>0.1</v>
      </c>
      <c r="K41" s="8" t="s">
        <v>48</v>
      </c>
      <c r="L41" s="8" t="s">
        <v>63</v>
      </c>
      <c r="M41" s="9" t="s">
        <v>50</v>
      </c>
      <c r="N41" s="8" t="s">
        <v>62</v>
      </c>
      <c r="O41" s="8" t="str" cm="1">
        <f t="array" ref="O41">CONCATENATE("I'm using mealpy library to solve Job-Shop Scheduling Problem. My problem instance has ",_xlfn.CHOOSECOLS(_xlfn.TEXTSPLIT(D41,"_"),1)," jobs and ", _xlfn.CHOOSECOLS(_xlfn.TEXTSPLIT(D41,"_"),2), " machines.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42" spans="1:15" x14ac:dyDescent="0.25">
      <c r="A42" s="8" t="s">
        <v>68</v>
      </c>
      <c r="B42" s="8" t="s">
        <v>67</v>
      </c>
      <c r="C42" s="8" t="s">
        <v>16</v>
      </c>
      <c r="D42" s="8" t="s">
        <v>71</v>
      </c>
      <c r="E42" s="8" t="s">
        <v>36</v>
      </c>
      <c r="F42" s="8" t="s">
        <v>38</v>
      </c>
      <c r="G42" s="8">
        <v>10000</v>
      </c>
      <c r="H42" s="8">
        <v>100</v>
      </c>
      <c r="I42" s="8">
        <v>0.95</v>
      </c>
      <c r="J42" s="8">
        <v>2.5000000000000001E-2</v>
      </c>
      <c r="K42" s="8" t="s">
        <v>48</v>
      </c>
      <c r="L42" s="8" t="s">
        <v>49</v>
      </c>
      <c r="M42" s="9" t="s">
        <v>50</v>
      </c>
      <c r="N42" s="8" t="s">
        <v>51</v>
      </c>
    </row>
    <row r="43" spans="1:15" x14ac:dyDescent="0.25">
      <c r="A43" s="8" t="s">
        <v>68</v>
      </c>
      <c r="B43" s="8" t="s">
        <v>67</v>
      </c>
      <c r="C43" s="8" t="s">
        <v>22</v>
      </c>
      <c r="D43" s="8" t="s">
        <v>71</v>
      </c>
      <c r="E43" s="8" t="s">
        <v>36</v>
      </c>
      <c r="F43" s="8" t="s">
        <v>38</v>
      </c>
      <c r="G43" s="8">
        <v>10000</v>
      </c>
      <c r="H43" s="8">
        <v>100</v>
      </c>
      <c r="I43" s="8">
        <v>0.95</v>
      </c>
      <c r="J43" s="8">
        <v>2.5000000000000001E-2</v>
      </c>
      <c r="K43" s="8" t="s">
        <v>48</v>
      </c>
      <c r="L43" s="8" t="s">
        <v>49</v>
      </c>
      <c r="M43" s="9" t="s">
        <v>50</v>
      </c>
      <c r="N43" s="8" t="s">
        <v>51</v>
      </c>
    </row>
    <row r="44" spans="1:15" x14ac:dyDescent="0.25">
      <c r="A44" s="8" t="s">
        <v>68</v>
      </c>
      <c r="B44" s="8" t="s">
        <v>67</v>
      </c>
      <c r="C44" s="8" t="s">
        <v>17</v>
      </c>
      <c r="D44" s="8" t="s">
        <v>76</v>
      </c>
      <c r="E44" s="8" t="s">
        <v>36</v>
      </c>
      <c r="F44" s="8" t="s">
        <v>38</v>
      </c>
      <c r="G44" s="8">
        <v>10000</v>
      </c>
      <c r="H44" s="8">
        <v>100</v>
      </c>
      <c r="I44" s="8">
        <v>0.95</v>
      </c>
      <c r="J44" s="8">
        <v>2.5000000000000001E-2</v>
      </c>
      <c r="K44" s="8" t="s">
        <v>48</v>
      </c>
      <c r="L44" s="8" t="s">
        <v>49</v>
      </c>
      <c r="M44" s="9" t="s">
        <v>50</v>
      </c>
      <c r="N44" s="8" t="s">
        <v>51</v>
      </c>
    </row>
    <row r="45" spans="1:15" x14ac:dyDescent="0.25">
      <c r="A45" s="8" t="s">
        <v>68</v>
      </c>
      <c r="B45" s="8" t="s">
        <v>67</v>
      </c>
      <c r="C45" s="8" t="s">
        <v>21</v>
      </c>
      <c r="D45" s="8" t="s">
        <v>71</v>
      </c>
      <c r="E45" s="8" t="s">
        <v>36</v>
      </c>
      <c r="F45" s="8" t="s">
        <v>38</v>
      </c>
      <c r="G45" s="8">
        <v>10000</v>
      </c>
      <c r="H45" s="8">
        <v>100</v>
      </c>
      <c r="I45" s="8">
        <v>0.95</v>
      </c>
      <c r="J45" s="8">
        <v>2.5000000000000001E-2</v>
      </c>
      <c r="K45" s="8" t="s">
        <v>48</v>
      </c>
      <c r="L45" s="8" t="s">
        <v>49</v>
      </c>
      <c r="M45" s="9" t="s">
        <v>50</v>
      </c>
      <c r="N45" s="8" t="s">
        <v>51</v>
      </c>
    </row>
    <row r="46" spans="1:15" x14ac:dyDescent="0.25">
      <c r="A46" s="8" t="s">
        <v>68</v>
      </c>
      <c r="B46" s="8" t="s">
        <v>67</v>
      </c>
      <c r="C46" s="8" t="s">
        <v>72</v>
      </c>
      <c r="D46" s="8" t="s">
        <v>75</v>
      </c>
      <c r="E46" s="8" t="s">
        <v>36</v>
      </c>
      <c r="F46" s="8" t="s">
        <v>38</v>
      </c>
      <c r="G46" s="8">
        <v>10000</v>
      </c>
      <c r="H46" s="8">
        <v>100</v>
      </c>
      <c r="I46" s="8">
        <v>0.95</v>
      </c>
      <c r="J46" s="8">
        <v>2.5000000000000001E-2</v>
      </c>
      <c r="K46" s="8" t="s">
        <v>48</v>
      </c>
      <c r="L46" s="8" t="s">
        <v>49</v>
      </c>
      <c r="M46" s="9" t="s">
        <v>50</v>
      </c>
      <c r="N46" s="8" t="s">
        <v>51</v>
      </c>
    </row>
    <row r="47" spans="1:15" x14ac:dyDescent="0.25">
      <c r="A47" s="8" t="s">
        <v>68</v>
      </c>
      <c r="B47" s="8" t="s">
        <v>67</v>
      </c>
      <c r="C47" s="8" t="s">
        <v>23</v>
      </c>
      <c r="D47" s="8" t="s">
        <v>75</v>
      </c>
      <c r="E47" s="8" t="s">
        <v>36</v>
      </c>
      <c r="F47" s="8" t="s">
        <v>38</v>
      </c>
      <c r="G47" s="8">
        <v>10000</v>
      </c>
      <c r="H47" s="8">
        <v>100</v>
      </c>
      <c r="I47" s="8">
        <v>0.95</v>
      </c>
      <c r="J47" s="8">
        <v>2.5000000000000001E-2</v>
      </c>
      <c r="K47" s="8" t="s">
        <v>48</v>
      </c>
      <c r="L47" s="8" t="s">
        <v>49</v>
      </c>
      <c r="M47" s="9" t="s">
        <v>50</v>
      </c>
      <c r="N47" s="8" t="s">
        <v>51</v>
      </c>
    </row>
    <row r="48" spans="1:15" x14ac:dyDescent="0.25">
      <c r="A48" s="8" t="s">
        <v>68</v>
      </c>
      <c r="B48" s="8" t="s">
        <v>67</v>
      </c>
      <c r="C48" s="8" t="s">
        <v>18</v>
      </c>
      <c r="D48" s="8" t="s">
        <v>74</v>
      </c>
      <c r="E48" s="8" t="s">
        <v>36</v>
      </c>
      <c r="F48" s="8" t="s">
        <v>38</v>
      </c>
      <c r="G48" s="8">
        <v>10000</v>
      </c>
      <c r="H48" s="8">
        <v>100</v>
      </c>
      <c r="I48" s="8">
        <v>0.95</v>
      </c>
      <c r="J48" s="8">
        <v>2.5000000000000001E-2</v>
      </c>
      <c r="K48" s="8" t="s">
        <v>48</v>
      </c>
      <c r="L48" s="8" t="s">
        <v>49</v>
      </c>
      <c r="M48" s="9" t="s">
        <v>50</v>
      </c>
      <c r="N48" s="8" t="s">
        <v>51</v>
      </c>
    </row>
    <row r="49" spans="1:15" x14ac:dyDescent="0.25">
      <c r="A49" s="8" t="s">
        <v>68</v>
      </c>
      <c r="B49" s="8" t="s">
        <v>67</v>
      </c>
      <c r="C49" s="8" t="s">
        <v>24</v>
      </c>
      <c r="D49" s="8" t="s">
        <v>73</v>
      </c>
      <c r="E49" s="8" t="s">
        <v>36</v>
      </c>
      <c r="F49" s="8" t="s">
        <v>38</v>
      </c>
      <c r="G49" s="8">
        <v>10000</v>
      </c>
      <c r="H49" s="8">
        <v>100</v>
      </c>
      <c r="I49" s="8">
        <v>0.95</v>
      </c>
      <c r="J49" s="8">
        <v>2.5000000000000001E-2</v>
      </c>
      <c r="K49" s="8" t="s">
        <v>48</v>
      </c>
      <c r="L49" s="8" t="s">
        <v>49</v>
      </c>
      <c r="M49" s="9" t="s">
        <v>50</v>
      </c>
      <c r="N49" s="8" t="s">
        <v>51</v>
      </c>
    </row>
    <row r="50" spans="1:15" x14ac:dyDescent="0.25">
      <c r="A50" s="8" t="s">
        <v>68</v>
      </c>
      <c r="B50" s="8" t="s">
        <v>67</v>
      </c>
      <c r="C50" s="8" t="s">
        <v>19</v>
      </c>
      <c r="D50" s="8" t="s">
        <v>71</v>
      </c>
      <c r="E50" s="8" t="s">
        <v>36</v>
      </c>
      <c r="F50" s="8" t="s">
        <v>38</v>
      </c>
      <c r="G50" s="8">
        <v>10000</v>
      </c>
      <c r="H50" s="8">
        <v>100</v>
      </c>
      <c r="I50" s="8">
        <v>0.95</v>
      </c>
      <c r="J50" s="8">
        <v>2.5000000000000001E-2</v>
      </c>
      <c r="K50" s="8" t="s">
        <v>48</v>
      </c>
      <c r="L50" s="8" t="s">
        <v>49</v>
      </c>
      <c r="M50" s="9" t="s">
        <v>50</v>
      </c>
      <c r="N50" s="8" t="s">
        <v>51</v>
      </c>
    </row>
    <row r="51" spans="1:15" x14ac:dyDescent="0.25">
      <c r="A51" s="8" t="s">
        <v>68</v>
      </c>
      <c r="B51" s="8" t="s">
        <v>67</v>
      </c>
      <c r="C51" s="8" t="s">
        <v>20</v>
      </c>
      <c r="D51" s="8" t="s">
        <v>71</v>
      </c>
      <c r="E51" s="8" t="s">
        <v>36</v>
      </c>
      <c r="F51" s="8" t="s">
        <v>38</v>
      </c>
      <c r="G51" s="8">
        <v>10000</v>
      </c>
      <c r="H51" s="8">
        <v>100</v>
      </c>
      <c r="I51" s="8">
        <v>0.95</v>
      </c>
      <c r="J51" s="8">
        <v>2.5000000000000001E-2</v>
      </c>
      <c r="K51" s="8" t="s">
        <v>48</v>
      </c>
      <c r="L51" s="8" t="s">
        <v>49</v>
      </c>
      <c r="M51" s="9" t="s">
        <v>50</v>
      </c>
      <c r="N51" s="8" t="s">
        <v>51</v>
      </c>
    </row>
    <row r="52" spans="1:15" x14ac:dyDescent="0.25">
      <c r="A52" s="8" t="s">
        <v>68</v>
      </c>
      <c r="B52" s="8" t="s">
        <v>67</v>
      </c>
      <c r="C52" s="8" t="s">
        <v>16</v>
      </c>
      <c r="D52" s="8" t="s">
        <v>71</v>
      </c>
      <c r="E52" s="8" t="s">
        <v>107</v>
      </c>
      <c r="F52" s="8" t="s">
        <v>52</v>
      </c>
      <c r="G52" s="8">
        <v>500</v>
      </c>
      <c r="H52" s="8">
        <v>200</v>
      </c>
      <c r="I52" s="8">
        <v>0.85</v>
      </c>
      <c r="J52" s="8">
        <v>0.15</v>
      </c>
      <c r="K52" s="8" t="s">
        <v>48</v>
      </c>
      <c r="L52" s="8" t="s">
        <v>49</v>
      </c>
      <c r="M52" s="9" t="s">
        <v>50</v>
      </c>
      <c r="N52" s="8" t="s">
        <v>62</v>
      </c>
      <c r="O52" s="8" t="s">
        <v>312</v>
      </c>
    </row>
    <row r="53" spans="1:15" x14ac:dyDescent="0.25">
      <c r="A53" s="8" t="s">
        <v>68</v>
      </c>
      <c r="B53" s="8" t="s">
        <v>67</v>
      </c>
      <c r="C53" s="8" t="s">
        <v>22</v>
      </c>
      <c r="D53" s="8" t="s">
        <v>71</v>
      </c>
      <c r="E53" s="8" t="s">
        <v>107</v>
      </c>
      <c r="F53" s="8" t="s">
        <v>52</v>
      </c>
      <c r="G53" s="8">
        <v>1500</v>
      </c>
      <c r="H53" s="8">
        <v>66</v>
      </c>
      <c r="I53" s="8">
        <v>0.85</v>
      </c>
      <c r="J53" s="8">
        <v>0.15</v>
      </c>
      <c r="K53" s="8" t="s">
        <v>48</v>
      </c>
      <c r="L53" s="8" t="s">
        <v>49</v>
      </c>
      <c r="M53" s="9" t="s">
        <v>50</v>
      </c>
      <c r="N53" s="8" t="s">
        <v>62</v>
      </c>
      <c r="O53" s="8" t="s">
        <v>313</v>
      </c>
    </row>
    <row r="54" spans="1:15" x14ac:dyDescent="0.25">
      <c r="A54" s="8" t="s">
        <v>68</v>
      </c>
      <c r="B54" s="8" t="s">
        <v>67</v>
      </c>
      <c r="C54" s="8" t="s">
        <v>17</v>
      </c>
      <c r="D54" s="8" t="s">
        <v>76</v>
      </c>
      <c r="E54" s="8" t="s">
        <v>107</v>
      </c>
      <c r="F54" s="8" t="s">
        <v>52</v>
      </c>
      <c r="G54" s="8">
        <v>500</v>
      </c>
      <c r="H54" s="8">
        <v>100</v>
      </c>
      <c r="I54" s="8">
        <v>0.85</v>
      </c>
      <c r="J54" s="8">
        <v>0.15</v>
      </c>
      <c r="K54" s="8" t="s">
        <v>48</v>
      </c>
      <c r="L54" s="8" t="s">
        <v>49</v>
      </c>
      <c r="M54" s="9" t="s">
        <v>50</v>
      </c>
      <c r="N54" s="8" t="s">
        <v>62</v>
      </c>
      <c r="O54" s="8" t="s">
        <v>314</v>
      </c>
    </row>
    <row r="55" spans="1:15" x14ac:dyDescent="0.25">
      <c r="A55" s="8" t="s">
        <v>68</v>
      </c>
      <c r="B55" s="8" t="s">
        <v>67</v>
      </c>
      <c r="C55" s="8" t="s">
        <v>21</v>
      </c>
      <c r="D55" s="8" t="s">
        <v>71</v>
      </c>
      <c r="E55" s="8" t="s">
        <v>107</v>
      </c>
      <c r="F55" s="8" t="s">
        <v>52</v>
      </c>
      <c r="G55" s="8">
        <v>1000</v>
      </c>
      <c r="H55" s="8">
        <v>50</v>
      </c>
      <c r="I55" s="8">
        <v>0.85</v>
      </c>
      <c r="J55" s="8">
        <v>0.15</v>
      </c>
      <c r="K55" s="8" t="s">
        <v>48</v>
      </c>
      <c r="L55" s="8" t="s">
        <v>49</v>
      </c>
      <c r="M55" s="9" t="s">
        <v>50</v>
      </c>
      <c r="N55" s="8" t="s">
        <v>62</v>
      </c>
      <c r="O55" s="8" t="s">
        <v>315</v>
      </c>
    </row>
    <row r="56" spans="1:15" x14ac:dyDescent="0.25">
      <c r="A56" s="8" t="s">
        <v>68</v>
      </c>
      <c r="B56" s="8" t="s">
        <v>67</v>
      </c>
      <c r="C56" s="8" t="s">
        <v>72</v>
      </c>
      <c r="D56" s="8" t="s">
        <v>75</v>
      </c>
      <c r="E56" s="8" t="s">
        <v>107</v>
      </c>
      <c r="F56" s="8" t="s">
        <v>52</v>
      </c>
      <c r="G56" s="8">
        <v>500</v>
      </c>
      <c r="H56" s="8">
        <v>200</v>
      </c>
      <c r="I56" s="8">
        <v>0.85</v>
      </c>
      <c r="J56" s="8">
        <v>0.15</v>
      </c>
      <c r="K56" s="8" t="s">
        <v>48</v>
      </c>
      <c r="L56" s="8" t="s">
        <v>49</v>
      </c>
      <c r="M56" s="9" t="s">
        <v>50</v>
      </c>
      <c r="N56" s="8" t="s">
        <v>62</v>
      </c>
      <c r="O56" s="8" t="s">
        <v>316</v>
      </c>
    </row>
    <row r="57" spans="1:15" x14ac:dyDescent="0.25">
      <c r="A57" s="8" t="s">
        <v>68</v>
      </c>
      <c r="B57" s="8" t="s">
        <v>67</v>
      </c>
      <c r="C57" s="8" t="s">
        <v>23</v>
      </c>
      <c r="D57" s="8" t="s">
        <v>75</v>
      </c>
      <c r="E57" s="8" t="s">
        <v>107</v>
      </c>
      <c r="F57" s="8" t="s">
        <v>52</v>
      </c>
      <c r="G57" s="8">
        <v>100000</v>
      </c>
      <c r="H57" s="8">
        <v>24</v>
      </c>
      <c r="I57" s="8">
        <v>0.9</v>
      </c>
      <c r="J57" s="8">
        <v>0.15</v>
      </c>
      <c r="K57" s="8" t="s">
        <v>48</v>
      </c>
      <c r="L57" s="8" t="s">
        <v>49</v>
      </c>
      <c r="M57" s="9" t="s">
        <v>50</v>
      </c>
      <c r="N57" s="8" t="s">
        <v>62</v>
      </c>
      <c r="O57" s="8" t="s">
        <v>317</v>
      </c>
    </row>
    <row r="58" spans="1:15" x14ac:dyDescent="0.25">
      <c r="A58" s="8" t="s">
        <v>68</v>
      </c>
      <c r="B58" s="8" t="s">
        <v>67</v>
      </c>
      <c r="C58" s="8" t="s">
        <v>18</v>
      </c>
      <c r="D58" s="8" t="s">
        <v>74</v>
      </c>
      <c r="E58" s="8" t="s">
        <v>107</v>
      </c>
      <c r="F58" s="8" t="s">
        <v>52</v>
      </c>
      <c r="G58" s="8">
        <v>500</v>
      </c>
      <c r="H58" s="8">
        <v>200</v>
      </c>
      <c r="I58" s="8">
        <v>0.9</v>
      </c>
      <c r="J58" s="8">
        <v>0.3</v>
      </c>
      <c r="K58" s="8" t="s">
        <v>48</v>
      </c>
      <c r="L58" s="8" t="s">
        <v>49</v>
      </c>
      <c r="M58" s="9" t="s">
        <v>50</v>
      </c>
      <c r="N58" s="8" t="s">
        <v>51</v>
      </c>
      <c r="O58" s="8" t="s">
        <v>318</v>
      </c>
    </row>
    <row r="59" spans="1:15" x14ac:dyDescent="0.25">
      <c r="A59" s="8" t="s">
        <v>68</v>
      </c>
      <c r="B59" s="8" t="s">
        <v>67</v>
      </c>
      <c r="C59" s="8" t="s">
        <v>24</v>
      </c>
      <c r="D59" s="8" t="s">
        <v>73</v>
      </c>
      <c r="E59" s="8" t="s">
        <v>107</v>
      </c>
      <c r="F59" s="8" t="s">
        <v>52</v>
      </c>
      <c r="G59" s="8">
        <v>5000</v>
      </c>
      <c r="H59" s="8">
        <v>200</v>
      </c>
      <c r="I59" s="8">
        <v>0.8</v>
      </c>
      <c r="J59" s="8">
        <v>0.2</v>
      </c>
      <c r="K59" s="8" t="s">
        <v>48</v>
      </c>
      <c r="L59" s="8" t="s">
        <v>63</v>
      </c>
      <c r="M59" s="9" t="s">
        <v>50</v>
      </c>
      <c r="N59" s="8" t="s">
        <v>62</v>
      </c>
      <c r="O59" s="8" t="s">
        <v>319</v>
      </c>
    </row>
    <row r="60" spans="1:15" x14ac:dyDescent="0.25">
      <c r="A60" s="8" t="s">
        <v>68</v>
      </c>
      <c r="B60" s="8" t="s">
        <v>67</v>
      </c>
      <c r="C60" s="8" t="s">
        <v>19</v>
      </c>
      <c r="D60" s="8" t="s">
        <v>71</v>
      </c>
      <c r="E60" s="8" t="s">
        <v>107</v>
      </c>
      <c r="F60" s="8" t="s">
        <v>52</v>
      </c>
      <c r="G60" s="8">
        <v>400</v>
      </c>
      <c r="H60" s="8">
        <v>124</v>
      </c>
      <c r="I60" s="8">
        <v>0.85</v>
      </c>
      <c r="J60" s="8">
        <v>0.15</v>
      </c>
      <c r="K60" s="8" t="s">
        <v>48</v>
      </c>
      <c r="L60" s="8" t="s">
        <v>49</v>
      </c>
      <c r="M60" s="9" t="s">
        <v>50</v>
      </c>
      <c r="N60" s="8" t="s">
        <v>62</v>
      </c>
      <c r="O60" s="8" t="s">
        <v>320</v>
      </c>
    </row>
    <row r="61" spans="1:15" x14ac:dyDescent="0.25">
      <c r="A61" s="8" t="s">
        <v>68</v>
      </c>
      <c r="B61" s="8" t="s">
        <v>67</v>
      </c>
      <c r="C61" s="8" t="s">
        <v>20</v>
      </c>
      <c r="D61" s="8" t="s">
        <v>71</v>
      </c>
      <c r="E61" s="8" t="s">
        <v>107</v>
      </c>
      <c r="F61" s="8" t="s">
        <v>52</v>
      </c>
      <c r="G61" s="8">
        <v>1000</v>
      </c>
      <c r="H61" s="8">
        <v>100</v>
      </c>
      <c r="I61" s="8">
        <v>0.85</v>
      </c>
      <c r="J61" s="8">
        <v>0.15</v>
      </c>
      <c r="K61" s="8" t="s">
        <v>48</v>
      </c>
      <c r="L61" s="8" t="s">
        <v>49</v>
      </c>
      <c r="M61" s="9" t="s">
        <v>50</v>
      </c>
      <c r="N61" s="8" t="s">
        <v>62</v>
      </c>
      <c r="O61" s="8" t="s">
        <v>321</v>
      </c>
    </row>
    <row r="62" spans="1:15" x14ac:dyDescent="0.25">
      <c r="A62" s="8" t="s">
        <v>68</v>
      </c>
      <c r="B62" s="8" t="s">
        <v>67</v>
      </c>
      <c r="C62" s="8" t="s">
        <v>16</v>
      </c>
      <c r="D62" s="8" t="s">
        <v>71</v>
      </c>
      <c r="E62" s="8" t="s">
        <v>109</v>
      </c>
      <c r="F62" s="8" t="s">
        <v>52</v>
      </c>
      <c r="G62" s="8">
        <v>10000</v>
      </c>
      <c r="H62" s="8">
        <v>50</v>
      </c>
      <c r="I62" s="8">
        <v>0.85</v>
      </c>
      <c r="J62" s="8">
        <v>0.05</v>
      </c>
      <c r="K62" s="8" t="s">
        <v>59</v>
      </c>
      <c r="L62" s="8" t="s">
        <v>60</v>
      </c>
      <c r="M62" s="9" t="s">
        <v>61</v>
      </c>
      <c r="N62" s="8" t="s">
        <v>51</v>
      </c>
      <c r="O62" s="8" t="s">
        <v>322</v>
      </c>
    </row>
    <row r="63" spans="1:15" x14ac:dyDescent="0.25">
      <c r="A63" s="8" t="s">
        <v>68</v>
      </c>
      <c r="B63" s="8" t="s">
        <v>67</v>
      </c>
      <c r="C63" s="8" t="s">
        <v>22</v>
      </c>
      <c r="D63" s="8" t="s">
        <v>71</v>
      </c>
      <c r="E63" s="8" t="s">
        <v>109</v>
      </c>
      <c r="F63" s="8" t="s">
        <v>52</v>
      </c>
      <c r="G63" s="8">
        <v>5000</v>
      </c>
      <c r="H63" s="8">
        <v>200</v>
      </c>
      <c r="I63" s="8">
        <v>0.95</v>
      </c>
      <c r="J63" s="8">
        <v>0.05</v>
      </c>
      <c r="K63" s="8" t="s">
        <v>59</v>
      </c>
      <c r="L63" s="8" t="s">
        <v>49</v>
      </c>
      <c r="M63" s="9" t="s">
        <v>50</v>
      </c>
      <c r="N63" s="8" t="s">
        <v>51</v>
      </c>
      <c r="O63" s="8" t="s">
        <v>323</v>
      </c>
    </row>
    <row r="64" spans="1:15" x14ac:dyDescent="0.25">
      <c r="A64" s="8" t="s">
        <v>68</v>
      </c>
      <c r="B64" s="8" t="s">
        <v>67</v>
      </c>
      <c r="C64" s="8" t="s">
        <v>17</v>
      </c>
      <c r="D64" s="8" t="s">
        <v>76</v>
      </c>
      <c r="E64" s="8" t="s">
        <v>109</v>
      </c>
      <c r="F64" s="8" t="s">
        <v>52</v>
      </c>
      <c r="G64" s="8">
        <v>500</v>
      </c>
      <c r="H64" s="8">
        <v>100</v>
      </c>
      <c r="I64" s="8">
        <v>0.9</v>
      </c>
      <c r="J64" s="8">
        <v>0.2</v>
      </c>
      <c r="K64" s="8" t="s">
        <v>48</v>
      </c>
      <c r="L64" s="8" t="s">
        <v>49</v>
      </c>
      <c r="M64" s="9" t="s">
        <v>50</v>
      </c>
      <c r="N64" s="8" t="s">
        <v>51</v>
      </c>
      <c r="O64" s="8" t="s">
        <v>324</v>
      </c>
    </row>
    <row r="65" spans="1:15" x14ac:dyDescent="0.25">
      <c r="A65" s="8" t="s">
        <v>68</v>
      </c>
      <c r="B65" s="8" t="s">
        <v>67</v>
      </c>
      <c r="C65" s="8" t="s">
        <v>21</v>
      </c>
      <c r="D65" s="8" t="s">
        <v>71</v>
      </c>
      <c r="E65" s="8" t="s">
        <v>109</v>
      </c>
      <c r="F65" s="8" t="s">
        <v>52</v>
      </c>
      <c r="G65" s="8">
        <v>5000</v>
      </c>
      <c r="H65" s="8">
        <v>200</v>
      </c>
      <c r="I65" s="8">
        <v>0.95</v>
      </c>
      <c r="J65" s="8">
        <v>0.15</v>
      </c>
      <c r="K65" s="8" t="s">
        <v>59</v>
      </c>
      <c r="L65" s="8" t="s">
        <v>63</v>
      </c>
      <c r="M65" s="9" t="s">
        <v>61</v>
      </c>
      <c r="N65" s="8" t="s">
        <v>51</v>
      </c>
      <c r="O65" s="8" t="s">
        <v>325</v>
      </c>
    </row>
    <row r="66" spans="1:15" x14ac:dyDescent="0.25">
      <c r="A66" s="8" t="s">
        <v>68</v>
      </c>
      <c r="B66" s="8" t="s">
        <v>67</v>
      </c>
      <c r="C66" s="8" t="s">
        <v>72</v>
      </c>
      <c r="D66" s="8" t="s">
        <v>75</v>
      </c>
      <c r="E66" s="8" t="s">
        <v>109</v>
      </c>
      <c r="F66" s="8" t="s">
        <v>52</v>
      </c>
      <c r="G66" s="8">
        <v>750</v>
      </c>
      <c r="H66" s="8">
        <v>32</v>
      </c>
      <c r="I66" s="8">
        <v>0.85</v>
      </c>
      <c r="J66" s="8">
        <v>0.15</v>
      </c>
      <c r="K66" s="8" t="s">
        <v>59</v>
      </c>
      <c r="L66" s="8" t="s">
        <v>60</v>
      </c>
      <c r="M66" s="9" t="s">
        <v>50</v>
      </c>
      <c r="N66" s="8" t="s">
        <v>51</v>
      </c>
      <c r="O66" s="8" t="s">
        <v>326</v>
      </c>
    </row>
    <row r="67" spans="1:15" x14ac:dyDescent="0.25">
      <c r="A67" s="8" t="s">
        <v>68</v>
      </c>
      <c r="B67" s="8" t="s">
        <v>67</v>
      </c>
      <c r="C67" s="8" t="s">
        <v>23</v>
      </c>
      <c r="D67" s="8" t="s">
        <v>75</v>
      </c>
      <c r="E67" s="8" t="s">
        <v>109</v>
      </c>
      <c r="F67" s="8" t="s">
        <v>52</v>
      </c>
      <c r="G67" s="8">
        <v>2000</v>
      </c>
      <c r="H67" s="8">
        <v>50</v>
      </c>
      <c r="I67" s="8">
        <v>0.9</v>
      </c>
      <c r="J67" s="8">
        <v>0.05</v>
      </c>
      <c r="K67" s="8" t="s">
        <v>59</v>
      </c>
      <c r="L67" s="8" t="s">
        <v>49</v>
      </c>
      <c r="M67" s="9" t="s">
        <v>61</v>
      </c>
      <c r="N67" s="8" t="s">
        <v>51</v>
      </c>
      <c r="O67" s="8" t="s">
        <v>327</v>
      </c>
    </row>
    <row r="68" spans="1:15" x14ac:dyDescent="0.25">
      <c r="A68" s="8" t="s">
        <v>68</v>
      </c>
      <c r="B68" s="8" t="s">
        <v>67</v>
      </c>
      <c r="C68" s="8" t="s">
        <v>18</v>
      </c>
      <c r="D68" s="8" t="s">
        <v>74</v>
      </c>
      <c r="E68" s="8" t="s">
        <v>109</v>
      </c>
      <c r="F68" s="8" t="s">
        <v>52</v>
      </c>
      <c r="G68" s="8">
        <v>2000</v>
      </c>
      <c r="H68" s="8">
        <v>50</v>
      </c>
      <c r="I68" s="8">
        <v>0.9</v>
      </c>
      <c r="J68" s="8">
        <v>0.15</v>
      </c>
      <c r="K68" s="8" t="s">
        <v>59</v>
      </c>
      <c r="L68" s="8" t="s">
        <v>49</v>
      </c>
      <c r="M68" s="9" t="s">
        <v>50</v>
      </c>
      <c r="N68" s="8" t="s">
        <v>51</v>
      </c>
      <c r="O68" s="8" t="s">
        <v>328</v>
      </c>
    </row>
    <row r="69" spans="1:15" x14ac:dyDescent="0.25">
      <c r="A69" s="8" t="s">
        <v>68</v>
      </c>
      <c r="B69" s="8" t="s">
        <v>67</v>
      </c>
      <c r="C69" s="8" t="s">
        <v>24</v>
      </c>
      <c r="D69" s="8" t="s">
        <v>73</v>
      </c>
      <c r="E69" s="8" t="s">
        <v>109</v>
      </c>
      <c r="F69" s="8" t="s">
        <v>52</v>
      </c>
      <c r="G69" s="8">
        <v>5000</v>
      </c>
      <c r="H69" s="8">
        <v>200</v>
      </c>
      <c r="I69" s="8">
        <v>0.85</v>
      </c>
      <c r="J69" s="8">
        <v>0.15</v>
      </c>
      <c r="K69" s="8" t="s">
        <v>59</v>
      </c>
      <c r="L69" s="8" t="s">
        <v>60</v>
      </c>
      <c r="M69" s="9" t="s">
        <v>50</v>
      </c>
      <c r="N69" s="8" t="s">
        <v>51</v>
      </c>
      <c r="O69" s="8" t="s">
        <v>329</v>
      </c>
    </row>
    <row r="70" spans="1:15" x14ac:dyDescent="0.25">
      <c r="A70" s="8" t="s">
        <v>68</v>
      </c>
      <c r="B70" s="8" t="s">
        <v>67</v>
      </c>
      <c r="C70" s="8" t="s">
        <v>19</v>
      </c>
      <c r="D70" s="8" t="s">
        <v>71</v>
      </c>
      <c r="E70" s="8" t="s">
        <v>109</v>
      </c>
      <c r="F70" s="8" t="s">
        <v>52</v>
      </c>
      <c r="G70" s="8">
        <v>2500</v>
      </c>
      <c r="H70" s="8">
        <v>200</v>
      </c>
      <c r="I70" s="8">
        <v>0.95</v>
      </c>
      <c r="J70" s="8">
        <v>0.05</v>
      </c>
      <c r="K70" s="8" t="s">
        <v>59</v>
      </c>
      <c r="L70" s="8" t="s">
        <v>60</v>
      </c>
      <c r="M70" s="9" t="s">
        <v>50</v>
      </c>
      <c r="N70" s="8" t="s">
        <v>51</v>
      </c>
      <c r="O70" s="8" t="s">
        <v>330</v>
      </c>
    </row>
    <row r="71" spans="1:15" x14ac:dyDescent="0.25">
      <c r="A71" s="8" t="s">
        <v>68</v>
      </c>
      <c r="B71" s="8" t="s">
        <v>67</v>
      </c>
      <c r="C71" s="8" t="s">
        <v>20</v>
      </c>
      <c r="D71" s="8" t="s">
        <v>71</v>
      </c>
      <c r="E71" s="8" t="s">
        <v>109</v>
      </c>
      <c r="F71" s="8" t="s">
        <v>52</v>
      </c>
      <c r="G71" s="8">
        <v>10000</v>
      </c>
      <c r="H71" s="8">
        <v>50</v>
      </c>
      <c r="I71" s="8">
        <v>0.85</v>
      </c>
      <c r="J71" s="8">
        <v>0.15</v>
      </c>
      <c r="K71" s="8" t="s">
        <v>59</v>
      </c>
      <c r="L71" s="8" t="s">
        <v>49</v>
      </c>
      <c r="M71" s="9" t="s">
        <v>50</v>
      </c>
      <c r="N71" s="8" t="s">
        <v>51</v>
      </c>
      <c r="O71" s="8" t="s">
        <v>331</v>
      </c>
    </row>
    <row r="72" spans="1:15" x14ac:dyDescent="0.25">
      <c r="A72" s="8" t="s">
        <v>68</v>
      </c>
      <c r="B72" s="8" t="s">
        <v>67</v>
      </c>
      <c r="C72" s="8" t="s">
        <v>16</v>
      </c>
      <c r="D72" s="8" t="s">
        <v>71</v>
      </c>
      <c r="E72" s="8" t="s">
        <v>8</v>
      </c>
      <c r="F72" s="8" t="s">
        <v>52</v>
      </c>
      <c r="G72" s="8">
        <v>400</v>
      </c>
      <c r="H72" s="8">
        <v>24</v>
      </c>
      <c r="I72" s="8">
        <v>0.95</v>
      </c>
      <c r="J72" s="8">
        <v>0.05</v>
      </c>
      <c r="K72" s="8" t="s">
        <v>59</v>
      </c>
      <c r="L72" s="8" t="s">
        <v>49</v>
      </c>
      <c r="M72" s="9" t="s">
        <v>61</v>
      </c>
      <c r="N72" s="8" t="s">
        <v>51</v>
      </c>
      <c r="O72" s="8" t="s">
        <v>332</v>
      </c>
    </row>
    <row r="73" spans="1:15" x14ac:dyDescent="0.25">
      <c r="A73" s="8" t="s">
        <v>68</v>
      </c>
      <c r="B73" s="8" t="s">
        <v>67</v>
      </c>
      <c r="C73" s="8" t="s">
        <v>22</v>
      </c>
      <c r="D73" s="8" t="s">
        <v>71</v>
      </c>
      <c r="E73" s="8" t="s">
        <v>8</v>
      </c>
      <c r="F73" s="8" t="s">
        <v>52</v>
      </c>
      <c r="G73" s="8">
        <v>100</v>
      </c>
      <c r="H73" s="8">
        <v>100</v>
      </c>
      <c r="I73" s="8">
        <v>0.95</v>
      </c>
      <c r="J73" s="8">
        <v>0.1</v>
      </c>
      <c r="K73" s="8" t="s">
        <v>59</v>
      </c>
      <c r="L73" s="8" t="s">
        <v>49</v>
      </c>
      <c r="M73" s="9" t="s">
        <v>61</v>
      </c>
      <c r="N73" s="8" t="s">
        <v>51</v>
      </c>
      <c r="O73" s="8" t="s">
        <v>333</v>
      </c>
    </row>
    <row r="74" spans="1:15" x14ac:dyDescent="0.25">
      <c r="A74" s="8" t="s">
        <v>68</v>
      </c>
      <c r="B74" s="8" t="s">
        <v>67</v>
      </c>
      <c r="C74" s="8" t="s">
        <v>17</v>
      </c>
      <c r="D74" s="8" t="s">
        <v>76</v>
      </c>
      <c r="E74" s="8" t="s">
        <v>8</v>
      </c>
      <c r="F74" s="8" t="s">
        <v>52</v>
      </c>
      <c r="G74" s="8">
        <v>100</v>
      </c>
      <c r="H74" s="8">
        <v>100</v>
      </c>
      <c r="I74" s="8">
        <v>0.95</v>
      </c>
      <c r="J74" s="8">
        <v>0.05</v>
      </c>
      <c r="K74" s="8" t="s">
        <v>59</v>
      </c>
      <c r="L74" s="8" t="s">
        <v>49</v>
      </c>
      <c r="M74" s="9" t="s">
        <v>61</v>
      </c>
      <c r="N74" s="8" t="s">
        <v>51</v>
      </c>
      <c r="O74" s="8" t="s">
        <v>334</v>
      </c>
    </row>
    <row r="75" spans="1:15" x14ac:dyDescent="0.25">
      <c r="A75" s="8" t="s">
        <v>68</v>
      </c>
      <c r="B75" s="8" t="s">
        <v>67</v>
      </c>
      <c r="C75" s="8" t="s">
        <v>21</v>
      </c>
      <c r="D75" s="8" t="s">
        <v>71</v>
      </c>
      <c r="E75" s="8" t="s">
        <v>8</v>
      </c>
      <c r="F75" s="8" t="s">
        <v>52</v>
      </c>
      <c r="G75" s="8">
        <v>600</v>
      </c>
      <c r="H75" s="8">
        <v>40</v>
      </c>
      <c r="I75" s="8">
        <v>0.95</v>
      </c>
      <c r="J75" s="8">
        <v>0.05</v>
      </c>
      <c r="K75" s="8" t="s">
        <v>59</v>
      </c>
      <c r="L75" s="8" t="s">
        <v>49</v>
      </c>
      <c r="M75" s="9" t="s">
        <v>61</v>
      </c>
      <c r="N75" s="8" t="s">
        <v>51</v>
      </c>
      <c r="O75" s="8" t="s">
        <v>335</v>
      </c>
    </row>
    <row r="76" spans="1:15" x14ac:dyDescent="0.25">
      <c r="A76" s="8" t="s">
        <v>68</v>
      </c>
      <c r="B76" s="8" t="s">
        <v>67</v>
      </c>
      <c r="C76" s="8" t="s">
        <v>72</v>
      </c>
      <c r="D76" s="8" t="s">
        <v>75</v>
      </c>
      <c r="E76" s="8" t="s">
        <v>8</v>
      </c>
      <c r="F76" s="8" t="s">
        <v>52</v>
      </c>
      <c r="G76" s="8">
        <v>240</v>
      </c>
      <c r="H76" s="8">
        <v>40</v>
      </c>
      <c r="I76" s="8">
        <v>0.98</v>
      </c>
      <c r="J76" s="8">
        <v>0.02</v>
      </c>
      <c r="K76" s="8" t="s">
        <v>59</v>
      </c>
      <c r="L76" s="8" t="s">
        <v>49</v>
      </c>
      <c r="M76" s="9" t="s">
        <v>61</v>
      </c>
      <c r="N76" s="8" t="s">
        <v>51</v>
      </c>
      <c r="O76" s="8" t="s">
        <v>336</v>
      </c>
    </row>
    <row r="77" spans="1:15" x14ac:dyDescent="0.25">
      <c r="A77" s="8" t="s">
        <v>68</v>
      </c>
      <c r="B77" s="8" t="s">
        <v>67</v>
      </c>
      <c r="C77" s="8" t="s">
        <v>23</v>
      </c>
      <c r="D77" s="8" t="s">
        <v>75</v>
      </c>
      <c r="E77" s="8" t="s">
        <v>8</v>
      </c>
      <c r="F77" s="8" t="s">
        <v>52</v>
      </c>
      <c r="G77" s="8">
        <v>240</v>
      </c>
      <c r="H77" s="8">
        <v>40</v>
      </c>
      <c r="I77" s="8">
        <v>0.8</v>
      </c>
      <c r="J77" s="8">
        <v>0.2</v>
      </c>
      <c r="K77" s="8" t="s">
        <v>59</v>
      </c>
      <c r="L77" s="8" t="s">
        <v>49</v>
      </c>
      <c r="M77" s="9" t="s">
        <v>61</v>
      </c>
      <c r="N77" s="8" t="s">
        <v>51</v>
      </c>
      <c r="O77" s="8" t="s">
        <v>337</v>
      </c>
    </row>
    <row r="78" spans="1:15" x14ac:dyDescent="0.25">
      <c r="A78" s="8" t="s">
        <v>68</v>
      </c>
      <c r="B78" s="8" t="s">
        <v>67</v>
      </c>
      <c r="C78" s="8" t="s">
        <v>18</v>
      </c>
      <c r="D78" s="8" t="s">
        <v>74</v>
      </c>
      <c r="E78" s="8" t="s">
        <v>8</v>
      </c>
      <c r="F78" s="8" t="s">
        <v>52</v>
      </c>
      <c r="G78" s="8">
        <v>240</v>
      </c>
      <c r="H78" s="8">
        <v>40</v>
      </c>
      <c r="I78" s="8">
        <v>0.95</v>
      </c>
      <c r="J78" s="8">
        <v>0.05</v>
      </c>
      <c r="K78" s="8" t="s">
        <v>59</v>
      </c>
      <c r="L78" s="8" t="s">
        <v>49</v>
      </c>
      <c r="M78" s="9" t="s">
        <v>61</v>
      </c>
      <c r="N78" s="8" t="s">
        <v>51</v>
      </c>
      <c r="O78" s="8" t="s">
        <v>338</v>
      </c>
    </row>
    <row r="79" spans="1:15" x14ac:dyDescent="0.25">
      <c r="A79" s="8" t="s">
        <v>68</v>
      </c>
      <c r="B79" s="8" t="s">
        <v>67</v>
      </c>
      <c r="C79" s="8" t="s">
        <v>24</v>
      </c>
      <c r="D79" s="8" t="s">
        <v>73</v>
      </c>
      <c r="E79" s="8" t="s">
        <v>8</v>
      </c>
      <c r="F79" s="8" t="s">
        <v>52</v>
      </c>
      <c r="G79" s="8">
        <v>240</v>
      </c>
      <c r="H79" s="8">
        <v>40</v>
      </c>
      <c r="I79" s="8">
        <v>0.95</v>
      </c>
      <c r="J79" s="8">
        <v>0.05</v>
      </c>
      <c r="K79" s="8" t="s">
        <v>59</v>
      </c>
      <c r="L79" s="8" t="s">
        <v>49</v>
      </c>
      <c r="M79" s="9" t="s">
        <v>61</v>
      </c>
      <c r="N79" s="8" t="s">
        <v>51</v>
      </c>
      <c r="O79" s="8" t="s">
        <v>339</v>
      </c>
    </row>
    <row r="80" spans="1:15" x14ac:dyDescent="0.25">
      <c r="A80" s="8" t="s">
        <v>68</v>
      </c>
      <c r="B80" s="8" t="s">
        <v>67</v>
      </c>
      <c r="C80" s="8" t="s">
        <v>19</v>
      </c>
      <c r="D80" s="8" t="s">
        <v>71</v>
      </c>
      <c r="E80" s="8" t="s">
        <v>8</v>
      </c>
      <c r="F80" s="8" t="s">
        <v>52</v>
      </c>
      <c r="G80" s="8">
        <v>240</v>
      </c>
      <c r="H80" s="8">
        <v>40</v>
      </c>
      <c r="I80" s="8">
        <v>0.95</v>
      </c>
      <c r="J80" s="8">
        <v>0.05</v>
      </c>
      <c r="K80" s="8" t="s">
        <v>59</v>
      </c>
      <c r="L80" s="8" t="s">
        <v>49</v>
      </c>
      <c r="M80" s="9" t="s">
        <v>61</v>
      </c>
      <c r="N80" s="8" t="s">
        <v>51</v>
      </c>
      <c r="O80" s="8" t="s">
        <v>340</v>
      </c>
    </row>
    <row r="81" spans="1:15" x14ac:dyDescent="0.25">
      <c r="A81" s="8" t="s">
        <v>68</v>
      </c>
      <c r="B81" s="8" t="s">
        <v>67</v>
      </c>
      <c r="C81" s="8" t="s">
        <v>20</v>
      </c>
      <c r="D81" s="8" t="s">
        <v>71</v>
      </c>
      <c r="E81" s="8" t="s">
        <v>8</v>
      </c>
      <c r="F81" s="8" t="s">
        <v>52</v>
      </c>
      <c r="G81" s="8">
        <v>250</v>
      </c>
      <c r="H81" s="8">
        <v>100</v>
      </c>
      <c r="I81" s="8">
        <v>0.95</v>
      </c>
      <c r="J81" s="8">
        <v>0.05</v>
      </c>
      <c r="K81" s="8" t="s">
        <v>59</v>
      </c>
      <c r="L81" s="8" t="s">
        <v>49</v>
      </c>
      <c r="M81" s="9" t="s">
        <v>61</v>
      </c>
      <c r="N81" s="8" t="s">
        <v>51</v>
      </c>
      <c r="O81" s="8" t="s">
        <v>341</v>
      </c>
    </row>
    <row r="82" spans="1:15" x14ac:dyDescent="0.25">
      <c r="A82" s="8" t="s">
        <v>68</v>
      </c>
      <c r="B82" s="8" t="s">
        <v>67</v>
      </c>
      <c r="C82" s="8" t="s">
        <v>16</v>
      </c>
      <c r="D82" s="8" t="s">
        <v>71</v>
      </c>
      <c r="E82" s="8" t="s">
        <v>110</v>
      </c>
      <c r="F82" s="8" t="s">
        <v>52</v>
      </c>
      <c r="G82" s="8">
        <v>2000</v>
      </c>
      <c r="H82" s="8">
        <v>50</v>
      </c>
      <c r="I82" s="8">
        <v>0.9</v>
      </c>
      <c r="J82" s="8">
        <v>0.1</v>
      </c>
      <c r="K82" s="8" t="s">
        <v>59</v>
      </c>
      <c r="L82" s="8" t="s">
        <v>49</v>
      </c>
      <c r="M82" s="9" t="s">
        <v>61</v>
      </c>
      <c r="N82" s="8" t="s">
        <v>51</v>
      </c>
      <c r="O82" s="8" t="s">
        <v>342</v>
      </c>
    </row>
    <row r="83" spans="1:15" x14ac:dyDescent="0.25">
      <c r="A83" s="8" t="s">
        <v>68</v>
      </c>
      <c r="B83" s="8" t="s">
        <v>67</v>
      </c>
      <c r="C83" s="8" t="s">
        <v>22</v>
      </c>
      <c r="D83" s="8" t="s">
        <v>71</v>
      </c>
      <c r="E83" s="8" t="s">
        <v>110</v>
      </c>
      <c r="F83" s="8" t="s">
        <v>52</v>
      </c>
      <c r="G83" s="8">
        <v>500</v>
      </c>
      <c r="H83" s="8">
        <v>200</v>
      </c>
      <c r="I83" s="8">
        <v>0.8</v>
      </c>
      <c r="J83" s="8">
        <v>0.05</v>
      </c>
      <c r="K83" s="8" t="s">
        <v>59</v>
      </c>
      <c r="L83" s="8" t="s">
        <v>49</v>
      </c>
      <c r="M83" s="9" t="s">
        <v>61</v>
      </c>
      <c r="N83" s="8" t="s">
        <v>51</v>
      </c>
      <c r="O83" s="8" t="s">
        <v>343</v>
      </c>
    </row>
    <row r="84" spans="1:15" x14ac:dyDescent="0.25">
      <c r="A84" s="8" t="s">
        <v>68</v>
      </c>
      <c r="B84" s="8" t="s">
        <v>67</v>
      </c>
      <c r="C84" s="8" t="s">
        <v>17</v>
      </c>
      <c r="D84" s="8" t="s">
        <v>76</v>
      </c>
      <c r="E84" s="8" t="s">
        <v>110</v>
      </c>
      <c r="F84" s="8" t="s">
        <v>52</v>
      </c>
      <c r="G84" s="8">
        <v>1200</v>
      </c>
      <c r="H84" s="8">
        <v>40</v>
      </c>
      <c r="I84" s="8">
        <v>0.9</v>
      </c>
      <c r="J84" s="8">
        <v>0.05</v>
      </c>
      <c r="K84" s="8" t="s">
        <v>59</v>
      </c>
      <c r="L84" s="8" t="s">
        <v>60</v>
      </c>
      <c r="M84" s="9" t="s">
        <v>61</v>
      </c>
      <c r="N84" s="8" t="s">
        <v>51</v>
      </c>
      <c r="O84" s="8" t="s">
        <v>344</v>
      </c>
    </row>
    <row r="85" spans="1:15" x14ac:dyDescent="0.25">
      <c r="A85" s="8" t="s">
        <v>68</v>
      </c>
      <c r="B85" s="8" t="s">
        <v>67</v>
      </c>
      <c r="C85" s="8" t="s">
        <v>21</v>
      </c>
      <c r="D85" s="8" t="s">
        <v>71</v>
      </c>
      <c r="E85" s="8" t="s">
        <v>110</v>
      </c>
      <c r="F85" s="8" t="s">
        <v>52</v>
      </c>
      <c r="G85" s="8">
        <v>500</v>
      </c>
      <c r="H85" s="8">
        <v>200</v>
      </c>
      <c r="I85" s="8">
        <v>0.7</v>
      </c>
      <c r="J85" s="8">
        <v>0.2</v>
      </c>
      <c r="K85" s="8" t="s">
        <v>59</v>
      </c>
      <c r="L85" s="8" t="s">
        <v>49</v>
      </c>
      <c r="M85" s="9" t="s">
        <v>61</v>
      </c>
      <c r="N85" s="8" t="s">
        <v>51</v>
      </c>
      <c r="O85" s="8" t="s">
        <v>345</v>
      </c>
    </row>
    <row r="86" spans="1:15" x14ac:dyDescent="0.25">
      <c r="A86" s="8" t="s">
        <v>68</v>
      </c>
      <c r="B86" s="8" t="s">
        <v>67</v>
      </c>
      <c r="C86" s="8" t="s">
        <v>72</v>
      </c>
      <c r="D86" s="8" t="s">
        <v>75</v>
      </c>
      <c r="E86" s="8" t="s">
        <v>110</v>
      </c>
      <c r="F86" s="8" t="s">
        <v>52</v>
      </c>
      <c r="G86" s="8">
        <v>500</v>
      </c>
      <c r="H86" s="8">
        <v>100</v>
      </c>
      <c r="I86" s="8">
        <v>0.9</v>
      </c>
      <c r="J86" s="8">
        <v>0.05</v>
      </c>
      <c r="K86" s="8" t="s">
        <v>59</v>
      </c>
      <c r="L86" s="8" t="s">
        <v>60</v>
      </c>
      <c r="M86" s="9" t="s">
        <v>50</v>
      </c>
      <c r="N86" s="8" t="s">
        <v>51</v>
      </c>
      <c r="O86" s="8" t="s">
        <v>346</v>
      </c>
    </row>
    <row r="87" spans="1:15" x14ac:dyDescent="0.25">
      <c r="A87" s="8" t="s">
        <v>68</v>
      </c>
      <c r="B87" s="8" t="s">
        <v>67</v>
      </c>
      <c r="C87" s="8" t="s">
        <v>23</v>
      </c>
      <c r="D87" s="8" t="s">
        <v>75</v>
      </c>
      <c r="E87" s="8" t="s">
        <v>110</v>
      </c>
      <c r="F87" s="8" t="s">
        <v>52</v>
      </c>
      <c r="G87" s="8">
        <v>5000</v>
      </c>
      <c r="H87" s="8">
        <v>200</v>
      </c>
      <c r="I87" s="8">
        <v>0.9</v>
      </c>
      <c r="J87" s="8">
        <v>0.05</v>
      </c>
      <c r="K87" s="8" t="s">
        <v>59</v>
      </c>
      <c r="L87" s="8" t="s">
        <v>60</v>
      </c>
      <c r="M87" s="9" t="s">
        <v>61</v>
      </c>
      <c r="N87" s="8" t="s">
        <v>51</v>
      </c>
      <c r="O87" s="8" t="s">
        <v>347</v>
      </c>
    </row>
    <row r="88" spans="1:15" x14ac:dyDescent="0.25">
      <c r="A88" s="8" t="s">
        <v>68</v>
      </c>
      <c r="B88" s="8" t="s">
        <v>67</v>
      </c>
      <c r="C88" s="8" t="s">
        <v>18</v>
      </c>
      <c r="D88" s="8" t="s">
        <v>74</v>
      </c>
      <c r="E88" s="8" t="s">
        <v>110</v>
      </c>
      <c r="F88" s="8" t="s">
        <v>52</v>
      </c>
      <c r="G88" s="8">
        <v>500</v>
      </c>
      <c r="H88" s="8">
        <v>200</v>
      </c>
      <c r="I88" s="8">
        <v>0.8</v>
      </c>
      <c r="J88" s="8">
        <v>0.2</v>
      </c>
      <c r="K88" s="8" t="s">
        <v>59</v>
      </c>
      <c r="L88" s="8" t="s">
        <v>63</v>
      </c>
      <c r="M88" s="9" t="s">
        <v>61</v>
      </c>
      <c r="N88" s="8" t="s">
        <v>51</v>
      </c>
      <c r="O88" s="8" t="s">
        <v>348</v>
      </c>
    </row>
    <row r="89" spans="1:15" x14ac:dyDescent="0.25">
      <c r="A89" s="8" t="s">
        <v>68</v>
      </c>
      <c r="B89" s="8" t="s">
        <v>67</v>
      </c>
      <c r="C89" s="8" t="s">
        <v>24</v>
      </c>
      <c r="D89" s="8" t="s">
        <v>73</v>
      </c>
      <c r="E89" s="8" t="s">
        <v>110</v>
      </c>
      <c r="F89" s="8" t="s">
        <v>52</v>
      </c>
      <c r="G89" s="8">
        <v>5000</v>
      </c>
      <c r="H89" s="8">
        <v>200</v>
      </c>
      <c r="I89" s="8">
        <v>0.8</v>
      </c>
      <c r="J89" s="8">
        <v>0.05</v>
      </c>
      <c r="K89" s="8" t="s">
        <v>59</v>
      </c>
      <c r="L89" s="8" t="s">
        <v>63</v>
      </c>
      <c r="M89" s="9" t="s">
        <v>61</v>
      </c>
      <c r="N89" s="8" t="s">
        <v>51</v>
      </c>
      <c r="O89" s="8" t="s">
        <v>349</v>
      </c>
    </row>
    <row r="90" spans="1:15" x14ac:dyDescent="0.25">
      <c r="A90" s="8" t="s">
        <v>68</v>
      </c>
      <c r="B90" s="8" t="s">
        <v>67</v>
      </c>
      <c r="C90" s="8" t="s">
        <v>19</v>
      </c>
      <c r="D90" s="8" t="s">
        <v>71</v>
      </c>
      <c r="E90" s="8" t="s">
        <v>110</v>
      </c>
      <c r="F90" s="8" t="s">
        <v>52</v>
      </c>
      <c r="G90" s="8">
        <v>5000</v>
      </c>
      <c r="H90" s="8">
        <v>200</v>
      </c>
      <c r="I90" s="8">
        <v>0.9</v>
      </c>
      <c r="J90" s="8">
        <v>0.05</v>
      </c>
      <c r="K90" s="8" t="s">
        <v>48</v>
      </c>
      <c r="L90" s="8" t="s">
        <v>49</v>
      </c>
      <c r="M90" s="9" t="s">
        <v>50</v>
      </c>
      <c r="N90" s="8" t="s">
        <v>62</v>
      </c>
      <c r="O90" s="8" t="s">
        <v>350</v>
      </c>
    </row>
    <row r="91" spans="1:15" x14ac:dyDescent="0.25">
      <c r="A91" s="8" t="s">
        <v>68</v>
      </c>
      <c r="B91" s="8" t="s">
        <v>67</v>
      </c>
      <c r="C91" s="8" t="s">
        <v>20</v>
      </c>
      <c r="D91" s="8" t="s">
        <v>71</v>
      </c>
      <c r="E91" s="8" t="s">
        <v>110</v>
      </c>
      <c r="F91" s="8" t="s">
        <v>52</v>
      </c>
      <c r="G91" s="8">
        <v>4000</v>
      </c>
      <c r="H91" s="8">
        <v>124</v>
      </c>
      <c r="I91" s="8">
        <v>0.9</v>
      </c>
      <c r="J91" s="8">
        <v>0.05</v>
      </c>
      <c r="K91" s="8" t="s">
        <v>59</v>
      </c>
      <c r="L91" s="8" t="s">
        <v>60</v>
      </c>
      <c r="M91" s="9" t="s">
        <v>61</v>
      </c>
      <c r="N91" s="8" t="s">
        <v>51</v>
      </c>
      <c r="O91" s="8" t="s">
        <v>351</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36106-E45A-C740-91A8-22B824BFC0E7}">
  <dimension ref="A1:L91"/>
  <sheetViews>
    <sheetView zoomScale="101" workbookViewId="0">
      <selection activeCell="A52" sqref="A52:XFD61"/>
    </sheetView>
  </sheetViews>
  <sheetFormatPr defaultColWidth="11" defaultRowHeight="15.75" x14ac:dyDescent="0.25"/>
  <cols>
    <col min="3" max="3" width="13.375" bestFit="1" customWidth="1"/>
    <col min="4" max="4" width="13.375" customWidth="1"/>
  </cols>
  <sheetData>
    <row r="1" spans="1:12" x14ac:dyDescent="0.25">
      <c r="A1" t="s">
        <v>0</v>
      </c>
      <c r="B1" t="s">
        <v>39</v>
      </c>
      <c r="C1" t="s">
        <v>1</v>
      </c>
      <c r="D1" t="s">
        <v>108</v>
      </c>
      <c r="E1" t="s">
        <v>3</v>
      </c>
      <c r="F1" t="s">
        <v>37</v>
      </c>
      <c r="G1" t="s">
        <v>40</v>
      </c>
      <c r="H1" t="s">
        <v>41</v>
      </c>
      <c r="I1" t="s">
        <v>56</v>
      </c>
      <c r="J1" t="s">
        <v>57</v>
      </c>
      <c r="K1" t="s">
        <v>58</v>
      </c>
      <c r="L1" t="s">
        <v>106</v>
      </c>
    </row>
    <row r="2" spans="1:12" x14ac:dyDescent="0.25">
      <c r="A2" t="s">
        <v>68</v>
      </c>
      <c r="B2" t="s">
        <v>70</v>
      </c>
      <c r="C2" t="s">
        <v>16</v>
      </c>
      <c r="D2" t="s">
        <v>71</v>
      </c>
      <c r="E2" t="s">
        <v>107</v>
      </c>
      <c r="F2" t="s">
        <v>38</v>
      </c>
      <c r="G2">
        <v>500</v>
      </c>
      <c r="H2">
        <v>50</v>
      </c>
      <c r="I2">
        <v>1.5</v>
      </c>
      <c r="J2">
        <v>1.5</v>
      </c>
      <c r="K2">
        <v>0.7</v>
      </c>
      <c r="L2" t="str" cm="1">
        <f t="array" ref="L2">CONCATENATE("I'm using mealpy library to solve Job-Shop Scheduling Problem. My problem instance has ", _xlfn.CHOOSECOLS(_xlfn.TEXTSPLIT(D2,"_"),1)," jobs and ", _xlfn.CHOOSECOLS(_xlfn.TEXTSPLIT(D2,"_"),2),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 spans="1:12" x14ac:dyDescent="0.25">
      <c r="A3" t="s">
        <v>68</v>
      </c>
      <c r="B3" t="s">
        <v>70</v>
      </c>
      <c r="C3" t="s">
        <v>22</v>
      </c>
      <c r="D3" t="s">
        <v>71</v>
      </c>
      <c r="E3" t="s">
        <v>107</v>
      </c>
      <c r="F3" t="s">
        <v>38</v>
      </c>
      <c r="G3">
        <v>500</v>
      </c>
      <c r="H3">
        <v>100</v>
      </c>
      <c r="I3">
        <v>1.5</v>
      </c>
      <c r="J3">
        <v>1.5</v>
      </c>
      <c r="K3">
        <v>0.7</v>
      </c>
      <c r="L3" t="str" cm="1">
        <f t="array" ref="L3">CONCATENATE("I'm using mealpy library to solve Job-Shop Scheduling Problem. My problem instance has ", _xlfn.CHOOSECOLS(_xlfn.TEXTSPLIT(D3,"_"),1)," jobs and ", _xlfn.CHOOSECOLS(_xlfn.TEXTSPLIT(D3,"_"),2),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4" spans="1:12" x14ac:dyDescent="0.25">
      <c r="A4" t="s">
        <v>68</v>
      </c>
      <c r="B4" t="s">
        <v>70</v>
      </c>
      <c r="C4" t="s">
        <v>17</v>
      </c>
      <c r="D4" t="s">
        <v>76</v>
      </c>
      <c r="E4" t="s">
        <v>107</v>
      </c>
      <c r="F4" t="s">
        <v>38</v>
      </c>
      <c r="G4">
        <v>1000</v>
      </c>
      <c r="H4">
        <v>100</v>
      </c>
      <c r="I4">
        <v>1.5</v>
      </c>
      <c r="J4">
        <v>1.5</v>
      </c>
      <c r="K4">
        <v>0.7</v>
      </c>
      <c r="L4" t="str" cm="1">
        <f t="array" ref="L4">CONCATENATE("I'm using mealpy library to solve Job-Shop Scheduling Problem. My problem instance has ", _xlfn.CHOOSECOLS(_xlfn.TEXTSPLIT(D4,"_"),1)," jobs and ", _xlfn.CHOOSECOLS(_xlfn.TEXTSPLIT(D4,"_"),2),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6 jobs and 6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5" spans="1:12" x14ac:dyDescent="0.25">
      <c r="A5" t="s">
        <v>68</v>
      </c>
      <c r="B5" t="s">
        <v>70</v>
      </c>
      <c r="C5" t="s">
        <v>21</v>
      </c>
      <c r="D5" t="s">
        <v>71</v>
      </c>
      <c r="E5" t="s">
        <v>107</v>
      </c>
      <c r="F5" t="s">
        <v>38</v>
      </c>
      <c r="G5">
        <v>1000</v>
      </c>
      <c r="H5">
        <v>100</v>
      </c>
      <c r="I5">
        <v>1.5</v>
      </c>
      <c r="J5">
        <v>1.5</v>
      </c>
      <c r="K5">
        <v>0.7</v>
      </c>
      <c r="L5" t="str" cm="1">
        <f t="array" ref="L5">CONCATENATE("I'm using mealpy library to solve Job-Shop Scheduling Problem. My problem instance has ", _xlfn.CHOOSECOLS(_xlfn.TEXTSPLIT(D5,"_"),1)," jobs and ", _xlfn.CHOOSECOLS(_xlfn.TEXTSPLIT(D5,"_"),2),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6" spans="1:12" x14ac:dyDescent="0.25">
      <c r="A6" t="s">
        <v>68</v>
      </c>
      <c r="B6" t="s">
        <v>70</v>
      </c>
      <c r="C6" t="s">
        <v>72</v>
      </c>
      <c r="D6" t="s">
        <v>75</v>
      </c>
      <c r="E6" t="s">
        <v>107</v>
      </c>
      <c r="F6" t="s">
        <v>38</v>
      </c>
      <c r="G6">
        <v>1000</v>
      </c>
      <c r="H6">
        <v>50</v>
      </c>
      <c r="I6">
        <v>2</v>
      </c>
      <c r="J6">
        <v>2</v>
      </c>
      <c r="K6">
        <v>0.7</v>
      </c>
      <c r="L6" t="str" cm="1">
        <f t="array" ref="L6">CONCATENATE("I'm using mealpy library to solve Job-Shop Scheduling Problem. My problem instance has ", _xlfn.CHOOSECOLS(_xlfn.TEXTSPLIT(D6,"_"),1)," jobs and ", _xlfn.CHOOSECOLS(_xlfn.TEXTSPLIT(D6,"_"),2),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7" spans="1:12" x14ac:dyDescent="0.25">
      <c r="A7" t="s">
        <v>68</v>
      </c>
      <c r="B7" t="s">
        <v>70</v>
      </c>
      <c r="C7" t="s">
        <v>23</v>
      </c>
      <c r="D7" t="s">
        <v>75</v>
      </c>
      <c r="E7" t="s">
        <v>107</v>
      </c>
      <c r="F7" t="s">
        <v>38</v>
      </c>
      <c r="G7">
        <v>5000</v>
      </c>
      <c r="H7">
        <v>100</v>
      </c>
      <c r="I7">
        <v>1.5</v>
      </c>
      <c r="J7">
        <v>1.5</v>
      </c>
      <c r="K7">
        <v>0.7</v>
      </c>
      <c r="L7" t="str" cm="1">
        <f t="array" ref="L7">CONCATENATE("I'm using mealpy library to solve Job-Shop Scheduling Problem. My problem instance has ", _xlfn.CHOOSECOLS(_xlfn.TEXTSPLIT(D7,"_"),1)," jobs and ", _xlfn.CHOOSECOLS(_xlfn.TEXTSPLIT(D7,"_"),2),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8" spans="1:12" x14ac:dyDescent="0.25">
      <c r="A8" t="s">
        <v>68</v>
      </c>
      <c r="B8" t="s">
        <v>70</v>
      </c>
      <c r="C8" t="s">
        <v>18</v>
      </c>
      <c r="D8" t="s">
        <v>74</v>
      </c>
      <c r="E8" t="s">
        <v>107</v>
      </c>
      <c r="F8" t="s">
        <v>38</v>
      </c>
      <c r="G8">
        <v>1000</v>
      </c>
      <c r="H8">
        <v>50</v>
      </c>
      <c r="I8">
        <v>1.5</v>
      </c>
      <c r="J8">
        <v>1.5</v>
      </c>
      <c r="K8">
        <v>0.7</v>
      </c>
      <c r="L8" t="str" cm="1">
        <f t="array" ref="L8">CONCATENATE("I'm using mealpy library to solve Job-Shop Scheduling Problem. My problem instance has ", _xlfn.CHOOSECOLS(_xlfn.TEXTSPLIT(D8,"_"),1)," jobs and ", _xlfn.CHOOSECOLS(_xlfn.TEXTSPLIT(D8,"_"),2),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15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9" spans="1:12" x14ac:dyDescent="0.25">
      <c r="A9" t="s">
        <v>68</v>
      </c>
      <c r="B9" t="s">
        <v>70</v>
      </c>
      <c r="C9" t="s">
        <v>24</v>
      </c>
      <c r="D9" t="s">
        <v>73</v>
      </c>
      <c r="E9" t="s">
        <v>107</v>
      </c>
      <c r="F9" t="s">
        <v>38</v>
      </c>
      <c r="G9">
        <v>500</v>
      </c>
      <c r="H9">
        <v>100</v>
      </c>
      <c r="I9">
        <v>1.5</v>
      </c>
      <c r="J9">
        <v>1.5</v>
      </c>
      <c r="K9">
        <v>0.8</v>
      </c>
      <c r="L9" t="str" cm="1">
        <f t="array" ref="L9">CONCATENATE("I'm using mealpy library to solve Job-Shop Scheduling Problem. My problem instance has ", _xlfn.CHOOSECOLS(_xlfn.TEXTSPLIT(D9,"_"),1)," jobs and ", _xlfn.CHOOSECOLS(_xlfn.TEXTSPLIT(D9,"_"),2),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20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0" spans="1:12" x14ac:dyDescent="0.25">
      <c r="A10" t="s">
        <v>68</v>
      </c>
      <c r="B10" t="s">
        <v>70</v>
      </c>
      <c r="C10" t="s">
        <v>19</v>
      </c>
      <c r="D10" t="s">
        <v>71</v>
      </c>
      <c r="E10" t="s">
        <v>107</v>
      </c>
      <c r="F10" t="s">
        <v>38</v>
      </c>
      <c r="G10">
        <v>500</v>
      </c>
      <c r="H10">
        <v>100</v>
      </c>
      <c r="I10">
        <v>1.5</v>
      </c>
      <c r="J10">
        <v>1.5</v>
      </c>
      <c r="K10">
        <v>0.8</v>
      </c>
      <c r="L10" t="str" cm="1">
        <f t="array" ref="L10">CONCATENATE("I'm using mealpy library to solve Job-Shop Scheduling Problem. My problem instance has ", _xlfn.CHOOSECOLS(_xlfn.TEXTSPLIT(D10,"_"),1)," jobs and ", _xlfn.CHOOSECOLS(_xlfn.TEXTSPLIT(D10,"_"),2),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1" spans="1:12" x14ac:dyDescent="0.25">
      <c r="A11" t="s">
        <v>68</v>
      </c>
      <c r="B11" t="s">
        <v>70</v>
      </c>
      <c r="C11" t="s">
        <v>20</v>
      </c>
      <c r="D11" t="s">
        <v>71</v>
      </c>
      <c r="E11" t="s">
        <v>107</v>
      </c>
      <c r="F11" t="s">
        <v>38</v>
      </c>
      <c r="G11">
        <v>5000</v>
      </c>
      <c r="H11">
        <v>200</v>
      </c>
      <c r="I11">
        <v>1.5</v>
      </c>
      <c r="J11">
        <v>1.5</v>
      </c>
      <c r="K11">
        <v>0.7</v>
      </c>
      <c r="L11" t="str" cm="1">
        <f t="array" ref="L11">CONCATENATE("I'm using mealpy library to solve Job-Shop Scheduling Problem. My problem instance has ", _xlfn.CHOOSECOLS(_xlfn.TEXTSPLIT(D11,"_"),1)," jobs and ", _xlfn.CHOOSECOLS(_xlfn.TEXTSPLIT(D11,"_"),2),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2" spans="1:12" x14ac:dyDescent="0.25">
      <c r="A12" t="s">
        <v>68</v>
      </c>
      <c r="B12" t="s">
        <v>70</v>
      </c>
      <c r="C12" t="s">
        <v>16</v>
      </c>
      <c r="D12" t="s">
        <v>71</v>
      </c>
      <c r="E12" t="s">
        <v>109</v>
      </c>
      <c r="F12" t="s">
        <v>38</v>
      </c>
      <c r="G12">
        <v>10000</v>
      </c>
      <c r="H12">
        <v>50</v>
      </c>
      <c r="I12">
        <v>1.5</v>
      </c>
      <c r="J12">
        <v>1.5</v>
      </c>
      <c r="K12">
        <v>0.7</v>
      </c>
      <c r="L12" t="str" cm="1">
        <f t="array" ref="L12">CONCATENATE("I'm using mealpy library to solve Job-Shop Scheduling Problem. My problem instance has ", _xlfn.CHOOSECOLS(_xlfn.TEXTSPLIT(D12,"_"),1)," jobs and ", _xlfn.CHOOSECOLS(_xlfn.TEXTSPLIT(D12,"_"),2),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3" spans="1:12" x14ac:dyDescent="0.25">
      <c r="A13" t="s">
        <v>68</v>
      </c>
      <c r="B13" t="s">
        <v>70</v>
      </c>
      <c r="C13" t="s">
        <v>22</v>
      </c>
      <c r="D13" t="s">
        <v>71</v>
      </c>
      <c r="E13" t="s">
        <v>109</v>
      </c>
      <c r="F13" t="s">
        <v>38</v>
      </c>
      <c r="G13">
        <v>100000</v>
      </c>
      <c r="H13">
        <v>50</v>
      </c>
      <c r="I13">
        <v>1.5</v>
      </c>
      <c r="J13">
        <v>2</v>
      </c>
      <c r="K13">
        <v>0.7</v>
      </c>
      <c r="L13" t="str" cm="1">
        <f t="array" ref="L13">CONCATENATE("I'm using mealpy library to solve Job-Shop Scheduling Problem. My problem instance has ", _xlfn.CHOOSECOLS(_xlfn.TEXTSPLIT(D13,"_"),1)," jobs and ", _xlfn.CHOOSECOLS(_xlfn.TEXTSPLIT(D13,"_"),2),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4" spans="1:12" x14ac:dyDescent="0.25">
      <c r="A14" t="s">
        <v>68</v>
      </c>
      <c r="B14" t="s">
        <v>70</v>
      </c>
      <c r="C14" t="s">
        <v>17</v>
      </c>
      <c r="D14" t="s">
        <v>76</v>
      </c>
      <c r="E14" t="s">
        <v>109</v>
      </c>
      <c r="F14" t="s">
        <v>38</v>
      </c>
      <c r="G14">
        <v>500</v>
      </c>
      <c r="H14">
        <v>30</v>
      </c>
      <c r="I14">
        <v>2</v>
      </c>
      <c r="J14">
        <v>2</v>
      </c>
      <c r="K14">
        <v>0.7</v>
      </c>
      <c r="L14" t="str" cm="1">
        <f t="array" ref="L14">CONCATENATE("I'm using mealpy library to solve Job-Shop Scheduling Problem. My problem instance has ", _xlfn.CHOOSECOLS(_xlfn.TEXTSPLIT(D14,"_"),1)," jobs and ", _xlfn.CHOOSECOLS(_xlfn.TEXTSPLIT(D14,"_"),2),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6 jobs and 6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5" spans="1:12" x14ac:dyDescent="0.25">
      <c r="A15" t="s">
        <v>68</v>
      </c>
      <c r="B15" t="s">
        <v>70</v>
      </c>
      <c r="C15" t="s">
        <v>21</v>
      </c>
      <c r="D15" t="s">
        <v>71</v>
      </c>
      <c r="E15" t="s">
        <v>109</v>
      </c>
      <c r="F15" t="s">
        <v>38</v>
      </c>
      <c r="G15">
        <v>1000</v>
      </c>
      <c r="H15">
        <v>50</v>
      </c>
      <c r="I15">
        <v>2</v>
      </c>
      <c r="J15">
        <v>2</v>
      </c>
      <c r="K15">
        <v>0.7</v>
      </c>
      <c r="L15" t="str" cm="1">
        <f t="array" ref="L15">CONCATENATE("I'm using mealpy library to solve Job-Shop Scheduling Problem. My problem instance has ", _xlfn.CHOOSECOLS(_xlfn.TEXTSPLIT(D15,"_"),1)," jobs and ", _xlfn.CHOOSECOLS(_xlfn.TEXTSPLIT(D15,"_"),2),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6" spans="1:12" x14ac:dyDescent="0.25">
      <c r="A16" t="s">
        <v>68</v>
      </c>
      <c r="B16" t="s">
        <v>70</v>
      </c>
      <c r="C16" t="s">
        <v>72</v>
      </c>
      <c r="D16" t="s">
        <v>75</v>
      </c>
      <c r="E16" t="s">
        <v>109</v>
      </c>
      <c r="F16" t="s">
        <v>38</v>
      </c>
      <c r="G16">
        <v>5000</v>
      </c>
      <c r="H16">
        <v>50</v>
      </c>
      <c r="I16">
        <v>1.5</v>
      </c>
      <c r="J16">
        <v>2</v>
      </c>
      <c r="K16">
        <v>0.8</v>
      </c>
      <c r="L16" t="str" cm="1">
        <f t="array" ref="L16">CONCATENATE("I'm using mealpy library to solve Job-Shop Scheduling Problem. My problem instance has ", _xlfn.CHOOSECOLS(_xlfn.TEXTSPLIT(D16,"_"),1)," jobs and ", _xlfn.CHOOSECOLS(_xlfn.TEXTSPLIT(D16,"_"),2),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7" spans="1:12" x14ac:dyDescent="0.25">
      <c r="A17" t="s">
        <v>68</v>
      </c>
      <c r="B17" t="s">
        <v>70</v>
      </c>
      <c r="C17" t="s">
        <v>23</v>
      </c>
      <c r="D17" t="s">
        <v>75</v>
      </c>
      <c r="E17" t="s">
        <v>109</v>
      </c>
      <c r="F17" t="s">
        <v>38</v>
      </c>
      <c r="G17">
        <v>5000</v>
      </c>
      <c r="H17">
        <v>50</v>
      </c>
      <c r="I17">
        <v>1.5</v>
      </c>
      <c r="J17">
        <v>1.5</v>
      </c>
      <c r="K17">
        <v>0.7</v>
      </c>
      <c r="L17" t="str" cm="1">
        <f t="array" ref="L17">CONCATENATE("I'm using mealpy library to solve Job-Shop Scheduling Problem. My problem instance has ", _xlfn.CHOOSECOLS(_xlfn.TEXTSPLIT(D17,"_"),1)," jobs and ", _xlfn.CHOOSECOLS(_xlfn.TEXTSPLIT(D17,"_"),2),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8" spans="1:12" x14ac:dyDescent="0.25">
      <c r="A18" t="s">
        <v>68</v>
      </c>
      <c r="B18" t="s">
        <v>70</v>
      </c>
      <c r="C18" t="s">
        <v>18</v>
      </c>
      <c r="D18" t="s">
        <v>74</v>
      </c>
      <c r="E18" t="s">
        <v>109</v>
      </c>
      <c r="F18" t="s">
        <v>38</v>
      </c>
      <c r="G18">
        <v>5000</v>
      </c>
      <c r="H18">
        <v>50</v>
      </c>
      <c r="I18">
        <v>1.5</v>
      </c>
      <c r="J18">
        <v>1.5</v>
      </c>
      <c r="K18">
        <v>0.7</v>
      </c>
      <c r="L18" t="str" cm="1">
        <f t="array" ref="L18">CONCATENATE("I'm using mealpy library to solve Job-Shop Scheduling Problem. My problem instance has ", _xlfn.CHOOSECOLS(_xlfn.TEXTSPLIT(D18,"_"),1)," jobs and ", _xlfn.CHOOSECOLS(_xlfn.TEXTSPLIT(D18,"_"),2),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15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9" spans="1:12" x14ac:dyDescent="0.25">
      <c r="A19" t="s">
        <v>68</v>
      </c>
      <c r="B19" t="s">
        <v>70</v>
      </c>
      <c r="C19" t="s">
        <v>24</v>
      </c>
      <c r="D19" t="s">
        <v>73</v>
      </c>
      <c r="E19" t="s">
        <v>109</v>
      </c>
      <c r="F19" t="s">
        <v>38</v>
      </c>
      <c r="G19">
        <v>1000</v>
      </c>
      <c r="H19">
        <v>50</v>
      </c>
      <c r="I19">
        <v>1.5</v>
      </c>
      <c r="J19">
        <v>2</v>
      </c>
      <c r="K19">
        <v>0.7</v>
      </c>
      <c r="L19" t="str" cm="1">
        <f t="array" ref="L19">CONCATENATE("I'm using mealpy library to solve Job-Shop Scheduling Problem. My problem instance has ", _xlfn.CHOOSECOLS(_xlfn.TEXTSPLIT(D19,"_"),1)," jobs and ", _xlfn.CHOOSECOLS(_xlfn.TEXTSPLIT(D19,"_"),2),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20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0" spans="1:12" x14ac:dyDescent="0.25">
      <c r="A20" t="s">
        <v>68</v>
      </c>
      <c r="B20" t="s">
        <v>70</v>
      </c>
      <c r="C20" t="s">
        <v>19</v>
      </c>
      <c r="D20" t="s">
        <v>71</v>
      </c>
      <c r="E20" t="s">
        <v>109</v>
      </c>
      <c r="F20" t="s">
        <v>38</v>
      </c>
      <c r="G20">
        <v>1000</v>
      </c>
      <c r="H20">
        <v>50</v>
      </c>
      <c r="I20">
        <v>1.5</v>
      </c>
      <c r="J20">
        <v>1.5</v>
      </c>
      <c r="K20">
        <v>0.7</v>
      </c>
      <c r="L20" t="str" cm="1">
        <f t="array" ref="L20">CONCATENATE("I'm using mealpy library to solve Job-Shop Scheduling Problem. My problem instance has ", _xlfn.CHOOSECOLS(_xlfn.TEXTSPLIT(D20,"_"),1)," jobs and ", _xlfn.CHOOSECOLS(_xlfn.TEXTSPLIT(D20,"_"),2),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1" spans="1:12" x14ac:dyDescent="0.25">
      <c r="A21" t="s">
        <v>68</v>
      </c>
      <c r="B21" t="s">
        <v>70</v>
      </c>
      <c r="C21" t="s">
        <v>20</v>
      </c>
      <c r="D21" t="s">
        <v>71</v>
      </c>
      <c r="E21" t="s">
        <v>109</v>
      </c>
      <c r="F21" t="s">
        <v>38</v>
      </c>
      <c r="G21">
        <v>10000</v>
      </c>
      <c r="H21">
        <v>50</v>
      </c>
      <c r="I21">
        <v>1.5</v>
      </c>
      <c r="J21">
        <v>1.5</v>
      </c>
      <c r="K21">
        <v>0.7</v>
      </c>
      <c r="L21" t="str" cm="1">
        <f t="array" ref="L21">CONCATENATE("I'm using mealpy library to solve Job-Shop Scheduling Problem. My problem instance has ", _xlfn.CHOOSECOLS(_xlfn.TEXTSPLIT(D21,"_"),1)," jobs and ", _xlfn.CHOOSECOLS(_xlfn.TEXTSPLIT(D21,"_"),2),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2" spans="1:12" x14ac:dyDescent="0.25">
      <c r="A22" t="s">
        <v>68</v>
      </c>
      <c r="B22" t="s">
        <v>70</v>
      </c>
      <c r="C22" t="s">
        <v>16</v>
      </c>
      <c r="D22" t="s">
        <v>71</v>
      </c>
      <c r="E22" t="s">
        <v>8</v>
      </c>
      <c r="F22" t="s">
        <v>38</v>
      </c>
      <c r="G22">
        <v>200</v>
      </c>
      <c r="H22">
        <v>50</v>
      </c>
      <c r="I22">
        <v>1.5</v>
      </c>
      <c r="J22">
        <v>1.5</v>
      </c>
      <c r="K22">
        <v>0.7</v>
      </c>
      <c r="L22" t="str" cm="1">
        <f t="array" ref="L22">CONCATENATE("I'm using mealpy library to solve Job-Shop Scheduling Problem. My problem instance has ", _xlfn.CHOOSECOLS(_xlfn.TEXTSPLIT(D22,"_"),1)," jobs and ", _xlfn.CHOOSECOLS(_xlfn.TEXTSPLIT(D22,"_"),2),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3" spans="1:12" x14ac:dyDescent="0.25">
      <c r="A23" t="s">
        <v>68</v>
      </c>
      <c r="B23" t="s">
        <v>70</v>
      </c>
      <c r="C23" t="s">
        <v>22</v>
      </c>
      <c r="D23" t="s">
        <v>71</v>
      </c>
      <c r="E23" t="s">
        <v>8</v>
      </c>
      <c r="F23" t="s">
        <v>38</v>
      </c>
      <c r="G23">
        <v>200</v>
      </c>
      <c r="H23">
        <v>50</v>
      </c>
      <c r="I23">
        <v>1.5</v>
      </c>
      <c r="J23">
        <v>1.5</v>
      </c>
      <c r="K23">
        <v>0.7</v>
      </c>
      <c r="L23" t="str" cm="1">
        <f t="array" ref="L23">CONCATENATE("I'm using mealpy library to solve Job-Shop Scheduling Problem. My problem instance has ", _xlfn.CHOOSECOLS(_xlfn.TEXTSPLIT(D23,"_"),1)," jobs and ", _xlfn.CHOOSECOLS(_xlfn.TEXTSPLIT(D23,"_"),2),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4" spans="1:12" x14ac:dyDescent="0.25">
      <c r="A24" t="s">
        <v>68</v>
      </c>
      <c r="B24" t="s">
        <v>70</v>
      </c>
      <c r="C24" t="s">
        <v>17</v>
      </c>
      <c r="D24" t="s">
        <v>76</v>
      </c>
      <c r="E24" t="s">
        <v>8</v>
      </c>
      <c r="F24" t="s">
        <v>38</v>
      </c>
      <c r="G24">
        <v>200</v>
      </c>
      <c r="H24">
        <v>50</v>
      </c>
      <c r="I24">
        <v>1.5</v>
      </c>
      <c r="J24">
        <v>2</v>
      </c>
      <c r="K24">
        <v>0.7</v>
      </c>
      <c r="L24" t="str" cm="1">
        <f t="array" ref="L24">CONCATENATE("I'm using mealpy library to solve Job-Shop Scheduling Problem. My problem instance has ", _xlfn.CHOOSECOLS(_xlfn.TEXTSPLIT(D24,"_"),1)," jobs and ", _xlfn.CHOOSECOLS(_xlfn.TEXTSPLIT(D24,"_"),2),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6 jobs and 6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5" spans="1:12" x14ac:dyDescent="0.25">
      <c r="A25" t="s">
        <v>68</v>
      </c>
      <c r="B25" t="s">
        <v>70</v>
      </c>
      <c r="C25" t="s">
        <v>21</v>
      </c>
      <c r="D25" t="s">
        <v>71</v>
      </c>
      <c r="E25" t="s">
        <v>8</v>
      </c>
      <c r="F25" t="s">
        <v>38</v>
      </c>
      <c r="G25">
        <v>200</v>
      </c>
      <c r="H25">
        <v>50</v>
      </c>
      <c r="I25">
        <v>1.5</v>
      </c>
      <c r="J25">
        <v>1.5</v>
      </c>
      <c r="K25">
        <v>0.7</v>
      </c>
      <c r="L25" t="str" cm="1">
        <f t="array" ref="L25">CONCATENATE("I'm using mealpy library to solve Job-Shop Scheduling Problem. My problem instance has ", _xlfn.CHOOSECOLS(_xlfn.TEXTSPLIT(D25,"_"),1)," jobs and ", _xlfn.CHOOSECOLS(_xlfn.TEXTSPLIT(D25,"_"),2),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6" spans="1:12" x14ac:dyDescent="0.25">
      <c r="A26" t="s">
        <v>68</v>
      </c>
      <c r="B26" t="s">
        <v>70</v>
      </c>
      <c r="C26" t="s">
        <v>72</v>
      </c>
      <c r="D26" t="s">
        <v>75</v>
      </c>
      <c r="E26" t="s">
        <v>8</v>
      </c>
      <c r="F26" t="s">
        <v>38</v>
      </c>
      <c r="G26">
        <v>200</v>
      </c>
      <c r="H26">
        <v>50</v>
      </c>
      <c r="I26">
        <v>1.5</v>
      </c>
      <c r="J26">
        <v>1.5</v>
      </c>
      <c r="K26">
        <v>0.7</v>
      </c>
      <c r="L26" t="str" cm="1">
        <f t="array" ref="L26">CONCATENATE("I'm using mealpy library to solve Job-Shop Scheduling Problem. My problem instance has ", _xlfn.CHOOSECOLS(_xlfn.TEXTSPLIT(D26,"_"),1)," jobs and ", _xlfn.CHOOSECOLS(_xlfn.TEXTSPLIT(D26,"_"),2),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7" spans="1:12" x14ac:dyDescent="0.25">
      <c r="A27" t="s">
        <v>68</v>
      </c>
      <c r="B27" t="s">
        <v>70</v>
      </c>
      <c r="C27" t="s">
        <v>23</v>
      </c>
      <c r="D27" t="s">
        <v>75</v>
      </c>
      <c r="E27" t="s">
        <v>8</v>
      </c>
      <c r="F27" t="s">
        <v>38</v>
      </c>
      <c r="G27">
        <v>200</v>
      </c>
      <c r="H27">
        <v>50</v>
      </c>
      <c r="I27">
        <v>1.5</v>
      </c>
      <c r="J27">
        <v>1.5</v>
      </c>
      <c r="K27">
        <v>0.7</v>
      </c>
      <c r="L27" t="str" cm="1">
        <f t="array" ref="L27">CONCATENATE("I'm using mealpy library to solve Job-Shop Scheduling Problem. My problem instance has ", _xlfn.CHOOSECOLS(_xlfn.TEXTSPLIT(D27,"_"),1)," jobs and ", _xlfn.CHOOSECOLS(_xlfn.TEXTSPLIT(D27,"_"),2),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8" spans="1:12" x14ac:dyDescent="0.25">
      <c r="A28" t="s">
        <v>68</v>
      </c>
      <c r="B28" t="s">
        <v>70</v>
      </c>
      <c r="C28" t="s">
        <v>18</v>
      </c>
      <c r="D28" t="s">
        <v>74</v>
      </c>
      <c r="E28" t="s">
        <v>8</v>
      </c>
      <c r="F28" t="s">
        <v>38</v>
      </c>
      <c r="G28">
        <v>200</v>
      </c>
      <c r="H28">
        <v>50</v>
      </c>
      <c r="I28">
        <v>1.5</v>
      </c>
      <c r="J28">
        <v>1.5</v>
      </c>
      <c r="K28">
        <v>0.7</v>
      </c>
      <c r="L28" t="str" cm="1">
        <f t="array" ref="L28">CONCATENATE("I'm using mealpy library to solve Job-Shop Scheduling Problem. My problem instance has ", _xlfn.CHOOSECOLS(_xlfn.TEXTSPLIT(D28,"_"),1)," jobs and ", _xlfn.CHOOSECOLS(_xlfn.TEXTSPLIT(D28,"_"),2),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15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9" spans="1:12" x14ac:dyDescent="0.25">
      <c r="A29" t="s">
        <v>68</v>
      </c>
      <c r="B29" t="s">
        <v>70</v>
      </c>
      <c r="C29" t="s">
        <v>24</v>
      </c>
      <c r="D29" t="s">
        <v>73</v>
      </c>
      <c r="E29" t="s">
        <v>8</v>
      </c>
      <c r="F29" t="s">
        <v>38</v>
      </c>
      <c r="G29">
        <v>200</v>
      </c>
      <c r="H29">
        <v>50</v>
      </c>
      <c r="I29">
        <v>1.5</v>
      </c>
      <c r="J29">
        <v>1.5</v>
      </c>
      <c r="K29">
        <v>0.7</v>
      </c>
      <c r="L29" t="str" cm="1">
        <f t="array" ref="L29">CONCATENATE("I'm using mealpy library to solve Job-Shop Scheduling Problem. My problem instance has ", _xlfn.CHOOSECOLS(_xlfn.TEXTSPLIT(D29,"_"),1)," jobs and ", _xlfn.CHOOSECOLS(_xlfn.TEXTSPLIT(D29,"_"),2),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20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0" spans="1:12" x14ac:dyDescent="0.25">
      <c r="A30" t="s">
        <v>68</v>
      </c>
      <c r="B30" t="s">
        <v>70</v>
      </c>
      <c r="C30" t="s">
        <v>19</v>
      </c>
      <c r="D30" t="s">
        <v>71</v>
      </c>
      <c r="E30" t="s">
        <v>8</v>
      </c>
      <c r="F30" t="s">
        <v>38</v>
      </c>
      <c r="G30">
        <v>200</v>
      </c>
      <c r="H30">
        <v>50</v>
      </c>
      <c r="I30">
        <v>1.5</v>
      </c>
      <c r="J30">
        <v>1.5</v>
      </c>
      <c r="K30">
        <v>0.7</v>
      </c>
      <c r="L30" t="str" cm="1">
        <f t="array" ref="L30">CONCATENATE("I'm using mealpy library to solve Job-Shop Scheduling Problem. My problem instance has ", _xlfn.CHOOSECOLS(_xlfn.TEXTSPLIT(D30,"_"),1)," jobs and ", _xlfn.CHOOSECOLS(_xlfn.TEXTSPLIT(D30,"_"),2),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1" spans="1:12" x14ac:dyDescent="0.25">
      <c r="A31" t="s">
        <v>68</v>
      </c>
      <c r="B31" t="s">
        <v>70</v>
      </c>
      <c r="C31" t="s">
        <v>20</v>
      </c>
      <c r="D31" t="s">
        <v>71</v>
      </c>
      <c r="E31" t="s">
        <v>8</v>
      </c>
      <c r="F31" t="s">
        <v>38</v>
      </c>
      <c r="G31">
        <v>200</v>
      </c>
      <c r="H31">
        <v>50</v>
      </c>
      <c r="I31">
        <v>1.5</v>
      </c>
      <c r="J31">
        <v>2</v>
      </c>
      <c r="K31">
        <v>0.7</v>
      </c>
      <c r="L31" t="str" cm="1">
        <f t="array" ref="L31">CONCATENATE("I'm using mealpy library to solve Job-Shop Scheduling Problem. My problem instance has ", _xlfn.CHOOSECOLS(_xlfn.TEXTSPLIT(D31,"_"),1)," jobs and ", _xlfn.CHOOSECOLS(_xlfn.TEXTSPLIT(D31,"_"),2),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2" spans="1:12" x14ac:dyDescent="0.25">
      <c r="A32" t="s">
        <v>68</v>
      </c>
      <c r="B32" t="s">
        <v>70</v>
      </c>
      <c r="C32" t="s">
        <v>16</v>
      </c>
      <c r="D32" t="s">
        <v>71</v>
      </c>
      <c r="E32" t="s">
        <v>110</v>
      </c>
      <c r="F32" t="s">
        <v>38</v>
      </c>
      <c r="G32">
        <v>1000</v>
      </c>
      <c r="H32">
        <v>50</v>
      </c>
      <c r="I32">
        <v>1.5</v>
      </c>
      <c r="J32">
        <v>1.5</v>
      </c>
      <c r="K32">
        <v>0.7</v>
      </c>
      <c r="L32" t="str" cm="1">
        <f t="array" ref="L32">CONCATENATE("I'm using mealpy library to solve Job-Shop Scheduling Problem. My problem instance has ", _xlfn.CHOOSECOLS(_xlfn.TEXTSPLIT(D32,"_"),1)," jobs and ", _xlfn.CHOOSECOLS(_xlfn.TEXTSPLIT(D32,"_"),2),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3" spans="1:12" x14ac:dyDescent="0.25">
      <c r="A33" t="s">
        <v>68</v>
      </c>
      <c r="B33" t="s">
        <v>70</v>
      </c>
      <c r="C33" t="s">
        <v>22</v>
      </c>
      <c r="D33" t="s">
        <v>71</v>
      </c>
      <c r="E33" t="s">
        <v>110</v>
      </c>
      <c r="F33" t="s">
        <v>38</v>
      </c>
      <c r="G33">
        <v>1000</v>
      </c>
      <c r="H33">
        <v>50</v>
      </c>
      <c r="I33">
        <v>1.5</v>
      </c>
      <c r="J33">
        <v>1.5</v>
      </c>
      <c r="K33">
        <v>0.7</v>
      </c>
      <c r="L33" t="str" cm="1">
        <f t="array" ref="L33">CONCATENATE("I'm using mealpy library to solve Job-Shop Scheduling Problem. My problem instance has ", _xlfn.CHOOSECOLS(_xlfn.TEXTSPLIT(D33,"_"),1)," jobs and ", _xlfn.CHOOSECOLS(_xlfn.TEXTSPLIT(D33,"_"),2),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4" spans="1:12" x14ac:dyDescent="0.25">
      <c r="A34" t="s">
        <v>68</v>
      </c>
      <c r="B34" t="s">
        <v>70</v>
      </c>
      <c r="C34" t="s">
        <v>17</v>
      </c>
      <c r="D34" t="s">
        <v>76</v>
      </c>
      <c r="E34" t="s">
        <v>110</v>
      </c>
      <c r="F34" t="s">
        <v>38</v>
      </c>
      <c r="G34">
        <v>1000</v>
      </c>
      <c r="H34">
        <v>50</v>
      </c>
      <c r="I34">
        <v>1.5</v>
      </c>
      <c r="J34">
        <v>1.5</v>
      </c>
      <c r="K34">
        <v>0.7</v>
      </c>
      <c r="L34" t="str" cm="1">
        <f t="array" ref="L34">CONCATENATE("I'm using mealpy library to solve Job-Shop Scheduling Problem. My problem instance has ", _xlfn.CHOOSECOLS(_xlfn.TEXTSPLIT(D34,"_"),1)," jobs and ", _xlfn.CHOOSECOLS(_xlfn.TEXTSPLIT(D34,"_"),2),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6 jobs and 6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5" spans="1:12" x14ac:dyDescent="0.25">
      <c r="A35" t="s">
        <v>68</v>
      </c>
      <c r="B35" t="s">
        <v>70</v>
      </c>
      <c r="C35" t="s">
        <v>21</v>
      </c>
      <c r="D35" t="s">
        <v>71</v>
      </c>
      <c r="E35" t="s">
        <v>110</v>
      </c>
      <c r="F35" t="s">
        <v>38</v>
      </c>
      <c r="G35">
        <v>500</v>
      </c>
      <c r="H35">
        <v>100</v>
      </c>
      <c r="I35">
        <v>1.5</v>
      </c>
      <c r="J35">
        <v>1.5</v>
      </c>
      <c r="K35">
        <v>0.7</v>
      </c>
      <c r="L35" t="str" cm="1">
        <f t="array" ref="L35">CONCATENATE("I'm using mealpy library to solve Job-Shop Scheduling Problem. My problem instance has ", _xlfn.CHOOSECOLS(_xlfn.TEXTSPLIT(D35,"_"),1)," jobs and ", _xlfn.CHOOSECOLS(_xlfn.TEXTSPLIT(D35,"_"),2),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6" spans="1:12" x14ac:dyDescent="0.25">
      <c r="A36" t="s">
        <v>68</v>
      </c>
      <c r="B36" t="s">
        <v>70</v>
      </c>
      <c r="C36" t="s">
        <v>72</v>
      </c>
      <c r="D36" t="s">
        <v>75</v>
      </c>
      <c r="E36" t="s">
        <v>110</v>
      </c>
      <c r="F36" t="s">
        <v>38</v>
      </c>
      <c r="G36">
        <v>500</v>
      </c>
      <c r="H36">
        <v>100</v>
      </c>
      <c r="I36">
        <v>1.5</v>
      </c>
      <c r="J36">
        <v>1.5</v>
      </c>
      <c r="K36">
        <v>0.7</v>
      </c>
      <c r="L36" t="str" cm="1">
        <f t="array" ref="L36">CONCATENATE("I'm using mealpy library to solve Job-Shop Scheduling Problem. My problem instance has ", _xlfn.CHOOSECOLS(_xlfn.TEXTSPLIT(D36,"_"),1)," jobs and ", _xlfn.CHOOSECOLS(_xlfn.TEXTSPLIT(D36,"_"),2),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7" spans="1:12" x14ac:dyDescent="0.25">
      <c r="A37" t="s">
        <v>68</v>
      </c>
      <c r="B37" t="s">
        <v>70</v>
      </c>
      <c r="C37" t="s">
        <v>23</v>
      </c>
      <c r="D37" t="s">
        <v>75</v>
      </c>
      <c r="E37" t="s">
        <v>110</v>
      </c>
      <c r="F37" t="s">
        <v>38</v>
      </c>
      <c r="G37">
        <v>5000</v>
      </c>
      <c r="H37">
        <v>100</v>
      </c>
      <c r="I37">
        <v>1.5</v>
      </c>
      <c r="J37">
        <v>1.5</v>
      </c>
      <c r="K37">
        <v>0.7</v>
      </c>
      <c r="L37" t="str" cm="1">
        <f t="array" ref="L37">CONCATENATE("I'm using mealpy library to solve Job-Shop Scheduling Problem. My problem instance has ", _xlfn.CHOOSECOLS(_xlfn.TEXTSPLIT(D37,"_"),1)," jobs and ", _xlfn.CHOOSECOLS(_xlfn.TEXTSPLIT(D37,"_"),2),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8" spans="1:12" x14ac:dyDescent="0.25">
      <c r="A38" t="s">
        <v>68</v>
      </c>
      <c r="B38" t="s">
        <v>70</v>
      </c>
      <c r="C38" t="s">
        <v>18</v>
      </c>
      <c r="D38" t="s">
        <v>74</v>
      </c>
      <c r="E38" t="s">
        <v>110</v>
      </c>
      <c r="F38" t="s">
        <v>38</v>
      </c>
      <c r="G38">
        <v>5000</v>
      </c>
      <c r="H38">
        <v>50</v>
      </c>
      <c r="I38">
        <v>1.5</v>
      </c>
      <c r="J38">
        <v>1.5</v>
      </c>
      <c r="K38">
        <v>0.7</v>
      </c>
      <c r="L38" t="str" cm="1">
        <f t="array" ref="L38">CONCATENATE("I'm using mealpy library to solve Job-Shop Scheduling Problem. My problem instance has ", _xlfn.CHOOSECOLS(_xlfn.TEXTSPLIT(D38,"_"),1)," jobs and ", _xlfn.CHOOSECOLS(_xlfn.TEXTSPLIT(D38,"_"),2),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15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9" spans="1:12" x14ac:dyDescent="0.25">
      <c r="A39" t="s">
        <v>68</v>
      </c>
      <c r="B39" t="s">
        <v>70</v>
      </c>
      <c r="C39" t="s">
        <v>24</v>
      </c>
      <c r="D39" t="s">
        <v>73</v>
      </c>
      <c r="E39" t="s">
        <v>110</v>
      </c>
      <c r="F39" t="s">
        <v>38</v>
      </c>
      <c r="G39">
        <v>1000</v>
      </c>
      <c r="H39">
        <v>50</v>
      </c>
      <c r="I39">
        <v>1.5</v>
      </c>
      <c r="J39">
        <v>1.5</v>
      </c>
      <c r="K39">
        <v>0.7</v>
      </c>
      <c r="L39" t="str" cm="1">
        <f t="array" ref="L39">CONCATENATE("I'm using mealpy library to solve Job-Shop Scheduling Problem. My problem instance has ", _xlfn.CHOOSECOLS(_xlfn.TEXTSPLIT(D39,"_"),1)," jobs and ", _xlfn.CHOOSECOLS(_xlfn.TEXTSPLIT(D39,"_"),2),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20 jobs and 5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40" spans="1:12" x14ac:dyDescent="0.25">
      <c r="A40" t="s">
        <v>68</v>
      </c>
      <c r="B40" t="s">
        <v>70</v>
      </c>
      <c r="C40" t="s">
        <v>19</v>
      </c>
      <c r="D40" t="s">
        <v>71</v>
      </c>
      <c r="E40" t="s">
        <v>110</v>
      </c>
      <c r="F40" t="s">
        <v>38</v>
      </c>
      <c r="G40">
        <v>1000</v>
      </c>
      <c r="H40">
        <v>50</v>
      </c>
      <c r="I40">
        <v>1.5</v>
      </c>
      <c r="J40">
        <v>1.5</v>
      </c>
      <c r="K40">
        <v>0.6</v>
      </c>
      <c r="L40" t="str" cm="1">
        <f t="array" ref="L40">CONCATENATE("I'm using mealpy library to solve Job-Shop Scheduling Problem. My problem instance has ", _xlfn.CHOOSECOLS(_xlfn.TEXTSPLIT(D40,"_"),1)," jobs and ", _xlfn.CHOOSECOLS(_xlfn.TEXTSPLIT(D40,"_"),2),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41" spans="1:12" x14ac:dyDescent="0.25">
      <c r="A41" t="s">
        <v>68</v>
      </c>
      <c r="B41" t="s">
        <v>70</v>
      </c>
      <c r="C41" t="s">
        <v>20</v>
      </c>
      <c r="D41" t="s">
        <v>71</v>
      </c>
      <c r="E41" t="s">
        <v>110</v>
      </c>
      <c r="F41" t="s">
        <v>38</v>
      </c>
      <c r="G41">
        <v>2000</v>
      </c>
      <c r="H41">
        <v>50</v>
      </c>
      <c r="I41">
        <v>1.5</v>
      </c>
      <c r="J41">
        <v>1.5</v>
      </c>
      <c r="K41">
        <v>0.7</v>
      </c>
      <c r="L41" t="str" cm="1">
        <f t="array" ref="L41">CONCATENATE("I'm using mealpy library to solve Job-Shop Scheduling Problem. My problem instance has ", _xlfn.CHOOSECOLS(_xlfn.TEXTSPLIT(D41,"_"),1)," jobs and ", _xlfn.CHOOSECOLS(_xlfn.TEXTSPLIT(D41,"_"),2), " machines.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42" spans="1:12" x14ac:dyDescent="0.25">
      <c r="A42" t="s">
        <v>68</v>
      </c>
      <c r="B42" t="s">
        <v>70</v>
      </c>
      <c r="C42" t="s">
        <v>16</v>
      </c>
      <c r="D42" t="s">
        <v>71</v>
      </c>
      <c r="E42" t="s">
        <v>36</v>
      </c>
      <c r="F42" t="s">
        <v>38</v>
      </c>
      <c r="G42">
        <v>10000</v>
      </c>
      <c r="H42">
        <v>100</v>
      </c>
      <c r="I42">
        <v>2.0499999999999998</v>
      </c>
      <c r="J42">
        <v>2.0499999999999998</v>
      </c>
      <c r="K42">
        <v>0.4</v>
      </c>
    </row>
    <row r="43" spans="1:12" x14ac:dyDescent="0.25">
      <c r="A43" t="s">
        <v>68</v>
      </c>
      <c r="B43" t="s">
        <v>70</v>
      </c>
      <c r="C43" t="s">
        <v>22</v>
      </c>
      <c r="D43" t="s">
        <v>71</v>
      </c>
      <c r="E43" t="s">
        <v>36</v>
      </c>
      <c r="F43" t="s">
        <v>38</v>
      </c>
      <c r="G43">
        <v>10000</v>
      </c>
      <c r="H43">
        <v>100</v>
      </c>
      <c r="I43">
        <v>2.0499999999999998</v>
      </c>
      <c r="J43">
        <v>2.0499999999999998</v>
      </c>
      <c r="K43">
        <v>0.4</v>
      </c>
    </row>
    <row r="44" spans="1:12" x14ac:dyDescent="0.25">
      <c r="A44" t="s">
        <v>68</v>
      </c>
      <c r="B44" t="s">
        <v>70</v>
      </c>
      <c r="C44" t="s">
        <v>17</v>
      </c>
      <c r="D44" t="s">
        <v>76</v>
      </c>
      <c r="E44" t="s">
        <v>36</v>
      </c>
      <c r="F44" t="s">
        <v>38</v>
      </c>
      <c r="G44">
        <v>10000</v>
      </c>
      <c r="H44">
        <v>100</v>
      </c>
      <c r="I44">
        <v>2.0499999999999998</v>
      </c>
      <c r="J44">
        <v>2.0499999999999998</v>
      </c>
      <c r="K44">
        <v>0.4</v>
      </c>
    </row>
    <row r="45" spans="1:12" x14ac:dyDescent="0.25">
      <c r="A45" t="s">
        <v>68</v>
      </c>
      <c r="B45" t="s">
        <v>70</v>
      </c>
      <c r="C45" t="s">
        <v>21</v>
      </c>
      <c r="D45" t="s">
        <v>71</v>
      </c>
      <c r="E45" t="s">
        <v>36</v>
      </c>
      <c r="F45" t="s">
        <v>38</v>
      </c>
      <c r="G45">
        <v>10000</v>
      </c>
      <c r="H45">
        <v>100</v>
      </c>
      <c r="I45">
        <v>2.0499999999999998</v>
      </c>
      <c r="J45">
        <v>2.0499999999999998</v>
      </c>
      <c r="K45">
        <v>0.4</v>
      </c>
    </row>
    <row r="46" spans="1:12" x14ac:dyDescent="0.25">
      <c r="A46" t="s">
        <v>68</v>
      </c>
      <c r="B46" t="s">
        <v>70</v>
      </c>
      <c r="C46" t="s">
        <v>72</v>
      </c>
      <c r="D46" t="s">
        <v>75</v>
      </c>
      <c r="E46" t="s">
        <v>36</v>
      </c>
      <c r="F46" t="s">
        <v>38</v>
      </c>
      <c r="G46">
        <v>10000</v>
      </c>
      <c r="H46">
        <v>100</v>
      </c>
      <c r="I46">
        <v>2.0499999999999998</v>
      </c>
      <c r="J46">
        <v>2.0499999999999998</v>
      </c>
      <c r="K46">
        <v>0.4</v>
      </c>
    </row>
    <row r="47" spans="1:12" x14ac:dyDescent="0.25">
      <c r="A47" t="s">
        <v>68</v>
      </c>
      <c r="B47" t="s">
        <v>70</v>
      </c>
      <c r="C47" t="s">
        <v>23</v>
      </c>
      <c r="D47" t="s">
        <v>75</v>
      </c>
      <c r="E47" t="s">
        <v>36</v>
      </c>
      <c r="F47" t="s">
        <v>38</v>
      </c>
      <c r="G47">
        <v>10000</v>
      </c>
      <c r="H47">
        <v>100</v>
      </c>
      <c r="I47">
        <v>2.0499999999999998</v>
      </c>
      <c r="J47">
        <v>2.0499999999999998</v>
      </c>
      <c r="K47">
        <v>0.4</v>
      </c>
    </row>
    <row r="48" spans="1:12" x14ac:dyDescent="0.25">
      <c r="A48" t="s">
        <v>68</v>
      </c>
      <c r="B48" t="s">
        <v>70</v>
      </c>
      <c r="C48" t="s">
        <v>18</v>
      </c>
      <c r="D48" t="s">
        <v>74</v>
      </c>
      <c r="E48" t="s">
        <v>36</v>
      </c>
      <c r="F48" t="s">
        <v>38</v>
      </c>
      <c r="G48">
        <v>10000</v>
      </c>
      <c r="H48">
        <v>100</v>
      </c>
      <c r="I48">
        <v>2.0499999999999998</v>
      </c>
      <c r="J48">
        <v>2.0499999999999998</v>
      </c>
      <c r="K48">
        <v>0.4</v>
      </c>
    </row>
    <row r="49" spans="1:12" x14ac:dyDescent="0.25">
      <c r="A49" t="s">
        <v>68</v>
      </c>
      <c r="B49" t="s">
        <v>70</v>
      </c>
      <c r="C49" t="s">
        <v>24</v>
      </c>
      <c r="D49" t="s">
        <v>73</v>
      </c>
      <c r="E49" t="s">
        <v>36</v>
      </c>
      <c r="F49" t="s">
        <v>38</v>
      </c>
      <c r="G49">
        <v>10000</v>
      </c>
      <c r="H49">
        <v>100</v>
      </c>
      <c r="I49">
        <v>2.0499999999999998</v>
      </c>
      <c r="J49">
        <v>2.0499999999999998</v>
      </c>
      <c r="K49">
        <v>0.4</v>
      </c>
    </row>
    <row r="50" spans="1:12" x14ac:dyDescent="0.25">
      <c r="A50" t="s">
        <v>68</v>
      </c>
      <c r="B50" t="s">
        <v>70</v>
      </c>
      <c r="C50" t="s">
        <v>19</v>
      </c>
      <c r="D50" t="s">
        <v>71</v>
      </c>
      <c r="E50" t="s">
        <v>36</v>
      </c>
      <c r="F50" t="s">
        <v>38</v>
      </c>
      <c r="G50">
        <v>10000</v>
      </c>
      <c r="H50">
        <v>100</v>
      </c>
      <c r="I50">
        <v>2.0499999999999998</v>
      </c>
      <c r="J50">
        <v>2.0499999999999998</v>
      </c>
      <c r="K50">
        <v>0.4</v>
      </c>
    </row>
    <row r="51" spans="1:12" x14ac:dyDescent="0.25">
      <c r="A51" t="s">
        <v>68</v>
      </c>
      <c r="B51" t="s">
        <v>70</v>
      </c>
      <c r="C51" t="s">
        <v>20</v>
      </c>
      <c r="D51" t="s">
        <v>71</v>
      </c>
      <c r="E51" t="s">
        <v>36</v>
      </c>
      <c r="F51" t="s">
        <v>38</v>
      </c>
      <c r="G51">
        <v>10000</v>
      </c>
      <c r="H51">
        <v>100</v>
      </c>
      <c r="I51">
        <v>2.0499999999999998</v>
      </c>
      <c r="J51">
        <v>2.0499999999999998</v>
      </c>
      <c r="K51">
        <v>0.4</v>
      </c>
    </row>
    <row r="52" spans="1:12" x14ac:dyDescent="0.25">
      <c r="A52" t="s">
        <v>68</v>
      </c>
      <c r="B52" t="s">
        <v>70</v>
      </c>
      <c r="C52" t="s">
        <v>16</v>
      </c>
      <c r="D52" t="s">
        <v>71</v>
      </c>
      <c r="E52" t="s">
        <v>107</v>
      </c>
      <c r="F52" t="s">
        <v>52</v>
      </c>
      <c r="G52">
        <v>800</v>
      </c>
      <c r="H52">
        <v>30</v>
      </c>
      <c r="I52">
        <v>1.7</v>
      </c>
      <c r="J52">
        <v>1.2</v>
      </c>
      <c r="K52">
        <v>0.6</v>
      </c>
      <c r="L52" t="s">
        <v>272</v>
      </c>
    </row>
    <row r="53" spans="1:12" x14ac:dyDescent="0.25">
      <c r="A53" t="s">
        <v>68</v>
      </c>
      <c r="B53" t="s">
        <v>70</v>
      </c>
      <c r="C53" t="s">
        <v>22</v>
      </c>
      <c r="D53" t="s">
        <v>71</v>
      </c>
      <c r="E53" t="s">
        <v>107</v>
      </c>
      <c r="F53" t="s">
        <v>52</v>
      </c>
      <c r="G53">
        <v>1000</v>
      </c>
      <c r="H53">
        <v>50</v>
      </c>
      <c r="I53">
        <v>2</v>
      </c>
      <c r="J53">
        <v>2</v>
      </c>
      <c r="K53">
        <v>0.6</v>
      </c>
      <c r="L53" t="s">
        <v>273</v>
      </c>
    </row>
    <row r="54" spans="1:12" x14ac:dyDescent="0.25">
      <c r="A54" t="s">
        <v>68</v>
      </c>
      <c r="B54" t="s">
        <v>70</v>
      </c>
      <c r="C54" t="s">
        <v>17</v>
      </c>
      <c r="D54" t="s">
        <v>76</v>
      </c>
      <c r="E54" t="s">
        <v>107</v>
      </c>
      <c r="F54" t="s">
        <v>52</v>
      </c>
      <c r="G54">
        <v>2000</v>
      </c>
      <c r="H54">
        <v>50</v>
      </c>
      <c r="I54">
        <v>1.8</v>
      </c>
      <c r="J54">
        <v>1.2</v>
      </c>
      <c r="K54">
        <v>0.6</v>
      </c>
      <c r="L54" t="s">
        <v>274</v>
      </c>
    </row>
    <row r="55" spans="1:12" x14ac:dyDescent="0.25">
      <c r="A55" t="s">
        <v>68</v>
      </c>
      <c r="B55" t="s">
        <v>70</v>
      </c>
      <c r="C55" t="s">
        <v>21</v>
      </c>
      <c r="D55" t="s">
        <v>71</v>
      </c>
      <c r="E55" t="s">
        <v>107</v>
      </c>
      <c r="F55" t="s">
        <v>52</v>
      </c>
      <c r="G55">
        <v>2000</v>
      </c>
      <c r="H55">
        <v>50</v>
      </c>
      <c r="I55">
        <v>2</v>
      </c>
      <c r="J55">
        <v>2</v>
      </c>
      <c r="K55">
        <v>0.6</v>
      </c>
      <c r="L55" t="s">
        <v>275</v>
      </c>
    </row>
    <row r="56" spans="1:12" x14ac:dyDescent="0.25">
      <c r="A56" t="s">
        <v>68</v>
      </c>
      <c r="B56" t="s">
        <v>70</v>
      </c>
      <c r="C56" t="s">
        <v>72</v>
      </c>
      <c r="D56" t="s">
        <v>75</v>
      </c>
      <c r="E56" t="s">
        <v>107</v>
      </c>
      <c r="F56" t="s">
        <v>52</v>
      </c>
      <c r="G56">
        <v>2000</v>
      </c>
      <c r="H56">
        <v>24</v>
      </c>
      <c r="I56">
        <v>1.5</v>
      </c>
      <c r="J56">
        <v>2.5</v>
      </c>
      <c r="K56">
        <v>0.6</v>
      </c>
      <c r="L56" t="s">
        <v>276</v>
      </c>
    </row>
    <row r="57" spans="1:12" x14ac:dyDescent="0.25">
      <c r="A57" t="s">
        <v>68</v>
      </c>
      <c r="B57" t="s">
        <v>70</v>
      </c>
      <c r="C57" t="s">
        <v>23</v>
      </c>
      <c r="D57" t="s">
        <v>75</v>
      </c>
      <c r="E57" t="s">
        <v>107</v>
      </c>
      <c r="F57" t="s">
        <v>52</v>
      </c>
      <c r="G57">
        <v>10000</v>
      </c>
      <c r="H57">
        <v>50</v>
      </c>
      <c r="I57">
        <v>2</v>
      </c>
      <c r="J57">
        <v>2</v>
      </c>
      <c r="K57">
        <v>0.6</v>
      </c>
      <c r="L57" t="s">
        <v>277</v>
      </c>
    </row>
    <row r="58" spans="1:12" x14ac:dyDescent="0.25">
      <c r="A58" t="s">
        <v>68</v>
      </c>
      <c r="B58" t="s">
        <v>70</v>
      </c>
      <c r="C58" t="s">
        <v>18</v>
      </c>
      <c r="D58" t="s">
        <v>74</v>
      </c>
      <c r="E58" t="s">
        <v>107</v>
      </c>
      <c r="F58" t="s">
        <v>52</v>
      </c>
      <c r="G58">
        <v>2000</v>
      </c>
      <c r="H58">
        <v>24</v>
      </c>
      <c r="I58">
        <v>2</v>
      </c>
      <c r="J58">
        <v>2</v>
      </c>
      <c r="K58">
        <v>0.5</v>
      </c>
      <c r="L58" t="s">
        <v>278</v>
      </c>
    </row>
    <row r="59" spans="1:12" x14ac:dyDescent="0.25">
      <c r="A59" t="s">
        <v>68</v>
      </c>
      <c r="B59" t="s">
        <v>70</v>
      </c>
      <c r="C59" t="s">
        <v>24</v>
      </c>
      <c r="D59" t="s">
        <v>73</v>
      </c>
      <c r="E59" t="s">
        <v>107</v>
      </c>
      <c r="F59" t="s">
        <v>52</v>
      </c>
      <c r="G59">
        <v>1000</v>
      </c>
      <c r="H59">
        <v>50</v>
      </c>
      <c r="I59">
        <v>2</v>
      </c>
      <c r="J59">
        <v>2</v>
      </c>
      <c r="K59">
        <v>0.7</v>
      </c>
      <c r="L59" t="s">
        <v>279</v>
      </c>
    </row>
    <row r="60" spans="1:12" x14ac:dyDescent="0.25">
      <c r="A60" t="s">
        <v>68</v>
      </c>
      <c r="B60" t="s">
        <v>70</v>
      </c>
      <c r="C60" t="s">
        <v>19</v>
      </c>
      <c r="D60" t="s">
        <v>71</v>
      </c>
      <c r="E60" t="s">
        <v>107</v>
      </c>
      <c r="F60" t="s">
        <v>52</v>
      </c>
      <c r="G60">
        <v>250</v>
      </c>
      <c r="H60">
        <v>200</v>
      </c>
      <c r="I60">
        <v>2</v>
      </c>
      <c r="J60">
        <v>2</v>
      </c>
      <c r="K60">
        <v>0.7</v>
      </c>
      <c r="L60" t="s">
        <v>280</v>
      </c>
    </row>
    <row r="61" spans="1:12" x14ac:dyDescent="0.25">
      <c r="A61" t="s">
        <v>68</v>
      </c>
      <c r="B61" t="s">
        <v>70</v>
      </c>
      <c r="C61" t="s">
        <v>20</v>
      </c>
      <c r="D61" t="s">
        <v>71</v>
      </c>
      <c r="E61" t="s">
        <v>107</v>
      </c>
      <c r="F61" t="s">
        <v>52</v>
      </c>
      <c r="G61">
        <v>10000</v>
      </c>
      <c r="H61">
        <v>100</v>
      </c>
      <c r="I61">
        <v>2</v>
      </c>
      <c r="J61">
        <v>2</v>
      </c>
      <c r="K61">
        <v>0.5</v>
      </c>
      <c r="L61" t="s">
        <v>281</v>
      </c>
    </row>
    <row r="62" spans="1:12" x14ac:dyDescent="0.25">
      <c r="A62" t="s">
        <v>68</v>
      </c>
      <c r="B62" t="s">
        <v>70</v>
      </c>
      <c r="C62" t="s">
        <v>16</v>
      </c>
      <c r="D62" t="s">
        <v>71</v>
      </c>
      <c r="E62" t="s">
        <v>109</v>
      </c>
      <c r="F62" t="s">
        <v>52</v>
      </c>
      <c r="G62">
        <v>20000</v>
      </c>
      <c r="H62">
        <v>24</v>
      </c>
      <c r="I62">
        <v>2</v>
      </c>
      <c r="J62">
        <v>2</v>
      </c>
      <c r="K62">
        <v>0.6</v>
      </c>
      <c r="L62" t="s">
        <v>282</v>
      </c>
    </row>
    <row r="63" spans="1:12" x14ac:dyDescent="0.25">
      <c r="A63" t="s">
        <v>68</v>
      </c>
      <c r="B63" t="s">
        <v>70</v>
      </c>
      <c r="C63" t="s">
        <v>22</v>
      </c>
      <c r="D63" t="s">
        <v>71</v>
      </c>
      <c r="E63" t="s">
        <v>109</v>
      </c>
      <c r="F63" t="s">
        <v>52</v>
      </c>
      <c r="G63">
        <v>50000</v>
      </c>
      <c r="H63">
        <v>100</v>
      </c>
      <c r="I63">
        <v>2</v>
      </c>
      <c r="J63">
        <v>2.5</v>
      </c>
      <c r="K63">
        <v>0.6</v>
      </c>
      <c r="L63" t="s">
        <v>283</v>
      </c>
    </row>
    <row r="64" spans="1:12" x14ac:dyDescent="0.25">
      <c r="A64" t="s">
        <v>68</v>
      </c>
      <c r="B64" t="s">
        <v>70</v>
      </c>
      <c r="C64" t="s">
        <v>17</v>
      </c>
      <c r="D64" t="s">
        <v>76</v>
      </c>
      <c r="E64" t="s">
        <v>109</v>
      </c>
      <c r="F64" t="s">
        <v>52</v>
      </c>
      <c r="G64">
        <v>750</v>
      </c>
      <c r="H64">
        <v>20</v>
      </c>
      <c r="I64">
        <v>2.5</v>
      </c>
      <c r="J64">
        <v>1.5</v>
      </c>
      <c r="K64">
        <v>0.6</v>
      </c>
      <c r="L64" t="s">
        <v>284</v>
      </c>
    </row>
    <row r="65" spans="1:12" x14ac:dyDescent="0.25">
      <c r="A65" t="s">
        <v>68</v>
      </c>
      <c r="B65" t="s">
        <v>70</v>
      </c>
      <c r="C65" t="s">
        <v>21</v>
      </c>
      <c r="D65" t="s">
        <v>71</v>
      </c>
      <c r="E65" t="s">
        <v>109</v>
      </c>
      <c r="F65" t="s">
        <v>52</v>
      </c>
      <c r="G65">
        <v>800</v>
      </c>
      <c r="H65">
        <v>62</v>
      </c>
      <c r="I65">
        <v>1.5</v>
      </c>
      <c r="J65">
        <v>1.5</v>
      </c>
      <c r="K65">
        <v>0.9</v>
      </c>
      <c r="L65" t="s">
        <v>285</v>
      </c>
    </row>
    <row r="66" spans="1:12" x14ac:dyDescent="0.25">
      <c r="A66" t="s">
        <v>68</v>
      </c>
      <c r="B66" t="s">
        <v>70</v>
      </c>
      <c r="C66" t="s">
        <v>72</v>
      </c>
      <c r="D66" t="s">
        <v>75</v>
      </c>
      <c r="E66" t="s">
        <v>109</v>
      </c>
      <c r="F66" t="s">
        <v>52</v>
      </c>
      <c r="G66">
        <v>2500</v>
      </c>
      <c r="H66">
        <v>100</v>
      </c>
      <c r="I66">
        <v>2</v>
      </c>
      <c r="J66">
        <v>2.5</v>
      </c>
      <c r="K66">
        <v>0.7</v>
      </c>
      <c r="L66" t="s">
        <v>286</v>
      </c>
    </row>
    <row r="67" spans="1:12" x14ac:dyDescent="0.25">
      <c r="A67" t="s">
        <v>68</v>
      </c>
      <c r="B67" t="s">
        <v>70</v>
      </c>
      <c r="C67" t="s">
        <v>23</v>
      </c>
      <c r="D67" t="s">
        <v>75</v>
      </c>
      <c r="E67" t="s">
        <v>109</v>
      </c>
      <c r="F67" t="s">
        <v>52</v>
      </c>
      <c r="G67">
        <v>4000</v>
      </c>
      <c r="H67">
        <v>62</v>
      </c>
      <c r="I67">
        <v>1.8</v>
      </c>
      <c r="J67">
        <v>1.2</v>
      </c>
      <c r="K67">
        <v>0.6</v>
      </c>
      <c r="L67" t="s">
        <v>287</v>
      </c>
    </row>
    <row r="68" spans="1:12" x14ac:dyDescent="0.25">
      <c r="A68" t="s">
        <v>68</v>
      </c>
      <c r="B68" t="s">
        <v>70</v>
      </c>
      <c r="C68" t="s">
        <v>18</v>
      </c>
      <c r="D68" t="s">
        <v>74</v>
      </c>
      <c r="E68" t="s">
        <v>109</v>
      </c>
      <c r="F68" t="s">
        <v>52</v>
      </c>
      <c r="G68">
        <v>6000</v>
      </c>
      <c r="H68">
        <v>42</v>
      </c>
      <c r="I68">
        <v>2</v>
      </c>
      <c r="J68">
        <v>2</v>
      </c>
      <c r="K68">
        <v>0.6</v>
      </c>
      <c r="L68" t="s">
        <v>288</v>
      </c>
    </row>
    <row r="69" spans="1:12" x14ac:dyDescent="0.25">
      <c r="A69" t="s">
        <v>68</v>
      </c>
      <c r="B69" t="s">
        <v>70</v>
      </c>
      <c r="C69" t="s">
        <v>24</v>
      </c>
      <c r="D69" t="s">
        <v>73</v>
      </c>
      <c r="E69" t="s">
        <v>109</v>
      </c>
      <c r="F69" t="s">
        <v>52</v>
      </c>
      <c r="G69">
        <v>2000</v>
      </c>
      <c r="H69">
        <v>24</v>
      </c>
      <c r="I69">
        <v>1.8</v>
      </c>
      <c r="J69">
        <v>1.8</v>
      </c>
      <c r="K69">
        <v>0.6</v>
      </c>
      <c r="L69" t="s">
        <v>289</v>
      </c>
    </row>
    <row r="70" spans="1:12" x14ac:dyDescent="0.25">
      <c r="A70" t="s">
        <v>68</v>
      </c>
      <c r="B70" t="s">
        <v>70</v>
      </c>
      <c r="C70" t="s">
        <v>19</v>
      </c>
      <c r="D70" t="s">
        <v>71</v>
      </c>
      <c r="E70" t="s">
        <v>109</v>
      </c>
      <c r="F70" t="s">
        <v>52</v>
      </c>
      <c r="G70">
        <v>1500</v>
      </c>
      <c r="H70">
        <v>32</v>
      </c>
      <c r="I70">
        <v>1.7</v>
      </c>
      <c r="J70">
        <v>1.7</v>
      </c>
      <c r="K70">
        <v>0.6</v>
      </c>
      <c r="L70" t="s">
        <v>290</v>
      </c>
    </row>
    <row r="71" spans="1:12" x14ac:dyDescent="0.25">
      <c r="A71" t="s">
        <v>68</v>
      </c>
      <c r="B71" t="s">
        <v>70</v>
      </c>
      <c r="C71" t="s">
        <v>20</v>
      </c>
      <c r="D71" t="s">
        <v>71</v>
      </c>
      <c r="E71" t="s">
        <v>109</v>
      </c>
      <c r="F71" t="s">
        <v>52</v>
      </c>
      <c r="G71">
        <v>5000</v>
      </c>
      <c r="H71">
        <v>100</v>
      </c>
      <c r="I71">
        <v>2</v>
      </c>
      <c r="J71">
        <v>2</v>
      </c>
      <c r="K71">
        <v>0.6</v>
      </c>
      <c r="L71" t="s">
        <v>291</v>
      </c>
    </row>
    <row r="72" spans="1:12" x14ac:dyDescent="0.25">
      <c r="A72" t="s">
        <v>68</v>
      </c>
      <c r="B72" t="s">
        <v>70</v>
      </c>
      <c r="C72" t="s">
        <v>16</v>
      </c>
      <c r="D72" t="s">
        <v>71</v>
      </c>
      <c r="E72" t="s">
        <v>8</v>
      </c>
      <c r="F72" t="s">
        <v>52</v>
      </c>
      <c r="G72">
        <v>400</v>
      </c>
      <c r="H72">
        <v>24</v>
      </c>
      <c r="I72">
        <v>2</v>
      </c>
      <c r="J72">
        <v>2</v>
      </c>
      <c r="K72">
        <v>0.6</v>
      </c>
      <c r="L72" t="s">
        <v>292</v>
      </c>
    </row>
    <row r="73" spans="1:12" x14ac:dyDescent="0.25">
      <c r="A73" t="s">
        <v>68</v>
      </c>
      <c r="B73" t="s">
        <v>70</v>
      </c>
      <c r="C73" t="s">
        <v>22</v>
      </c>
      <c r="D73" t="s">
        <v>71</v>
      </c>
      <c r="E73" t="s">
        <v>8</v>
      </c>
      <c r="F73" t="s">
        <v>52</v>
      </c>
      <c r="G73">
        <v>400</v>
      </c>
      <c r="H73">
        <v>24</v>
      </c>
      <c r="I73">
        <v>2</v>
      </c>
      <c r="J73">
        <v>2</v>
      </c>
      <c r="K73">
        <v>0.6</v>
      </c>
      <c r="L73" t="s">
        <v>293</v>
      </c>
    </row>
    <row r="74" spans="1:12" x14ac:dyDescent="0.25">
      <c r="A74" t="s">
        <v>68</v>
      </c>
      <c r="B74" t="s">
        <v>70</v>
      </c>
      <c r="C74" t="s">
        <v>17</v>
      </c>
      <c r="D74" t="s">
        <v>76</v>
      </c>
      <c r="E74" t="s">
        <v>8</v>
      </c>
      <c r="F74" t="s">
        <v>52</v>
      </c>
      <c r="G74">
        <v>400</v>
      </c>
      <c r="H74">
        <v>24</v>
      </c>
      <c r="I74">
        <v>2</v>
      </c>
      <c r="J74">
        <v>1.5</v>
      </c>
      <c r="K74">
        <v>0.6</v>
      </c>
      <c r="L74" t="s">
        <v>294</v>
      </c>
    </row>
    <row r="75" spans="1:12" x14ac:dyDescent="0.25">
      <c r="A75" t="s">
        <v>68</v>
      </c>
      <c r="B75" t="s">
        <v>70</v>
      </c>
      <c r="C75" t="s">
        <v>21</v>
      </c>
      <c r="D75" t="s">
        <v>71</v>
      </c>
      <c r="E75" t="s">
        <v>8</v>
      </c>
      <c r="F75" t="s">
        <v>52</v>
      </c>
      <c r="G75">
        <v>400</v>
      </c>
      <c r="H75">
        <v>24</v>
      </c>
      <c r="I75">
        <v>2</v>
      </c>
      <c r="J75">
        <v>2</v>
      </c>
      <c r="K75">
        <v>0.6</v>
      </c>
      <c r="L75" t="s">
        <v>295</v>
      </c>
    </row>
    <row r="76" spans="1:12" x14ac:dyDescent="0.25">
      <c r="A76" t="s">
        <v>68</v>
      </c>
      <c r="B76" t="s">
        <v>70</v>
      </c>
      <c r="C76" t="s">
        <v>72</v>
      </c>
      <c r="D76" t="s">
        <v>75</v>
      </c>
      <c r="E76" t="s">
        <v>8</v>
      </c>
      <c r="F76" t="s">
        <v>52</v>
      </c>
      <c r="G76">
        <v>100</v>
      </c>
      <c r="H76">
        <v>100</v>
      </c>
      <c r="I76">
        <v>2</v>
      </c>
      <c r="J76">
        <v>2</v>
      </c>
      <c r="K76">
        <v>0.6</v>
      </c>
      <c r="L76" t="s">
        <v>296</v>
      </c>
    </row>
    <row r="77" spans="1:12" x14ac:dyDescent="0.25">
      <c r="A77" t="s">
        <v>68</v>
      </c>
      <c r="B77" t="s">
        <v>70</v>
      </c>
      <c r="C77" t="s">
        <v>23</v>
      </c>
      <c r="D77" t="s">
        <v>75</v>
      </c>
      <c r="E77" t="s">
        <v>8</v>
      </c>
      <c r="F77" t="s">
        <v>52</v>
      </c>
      <c r="G77">
        <v>400</v>
      </c>
      <c r="H77">
        <v>24</v>
      </c>
      <c r="I77">
        <v>2</v>
      </c>
      <c r="J77">
        <v>2</v>
      </c>
      <c r="K77">
        <v>0.6</v>
      </c>
      <c r="L77" t="s">
        <v>297</v>
      </c>
    </row>
    <row r="78" spans="1:12" x14ac:dyDescent="0.25">
      <c r="A78" t="s">
        <v>68</v>
      </c>
      <c r="B78" t="s">
        <v>70</v>
      </c>
      <c r="C78" t="s">
        <v>18</v>
      </c>
      <c r="D78" t="s">
        <v>74</v>
      </c>
      <c r="E78" t="s">
        <v>8</v>
      </c>
      <c r="F78" t="s">
        <v>52</v>
      </c>
      <c r="G78">
        <v>400</v>
      </c>
      <c r="H78">
        <v>24</v>
      </c>
      <c r="I78">
        <v>2</v>
      </c>
      <c r="J78">
        <v>2</v>
      </c>
      <c r="K78">
        <v>0.6</v>
      </c>
      <c r="L78" t="s">
        <v>298</v>
      </c>
    </row>
    <row r="79" spans="1:12" x14ac:dyDescent="0.25">
      <c r="A79" t="s">
        <v>68</v>
      </c>
      <c r="B79" t="s">
        <v>70</v>
      </c>
      <c r="C79" t="s">
        <v>24</v>
      </c>
      <c r="D79" t="s">
        <v>73</v>
      </c>
      <c r="E79" t="s">
        <v>8</v>
      </c>
      <c r="F79" t="s">
        <v>52</v>
      </c>
      <c r="G79">
        <v>400</v>
      </c>
      <c r="H79">
        <v>24</v>
      </c>
      <c r="I79">
        <v>2</v>
      </c>
      <c r="J79">
        <v>2</v>
      </c>
      <c r="K79">
        <v>0.6</v>
      </c>
      <c r="L79" t="s">
        <v>299</v>
      </c>
    </row>
    <row r="80" spans="1:12" x14ac:dyDescent="0.25">
      <c r="A80" t="s">
        <v>68</v>
      </c>
      <c r="B80" t="s">
        <v>70</v>
      </c>
      <c r="C80" t="s">
        <v>19</v>
      </c>
      <c r="D80" t="s">
        <v>71</v>
      </c>
      <c r="E80" t="s">
        <v>8</v>
      </c>
      <c r="F80" t="s">
        <v>52</v>
      </c>
      <c r="G80">
        <v>400</v>
      </c>
      <c r="H80">
        <v>24</v>
      </c>
      <c r="I80">
        <v>2</v>
      </c>
      <c r="J80">
        <v>2</v>
      </c>
      <c r="K80">
        <v>0.6</v>
      </c>
      <c r="L80" t="s">
        <v>300</v>
      </c>
    </row>
    <row r="81" spans="1:12" x14ac:dyDescent="0.25">
      <c r="A81" t="s">
        <v>68</v>
      </c>
      <c r="B81" t="s">
        <v>70</v>
      </c>
      <c r="C81" t="s">
        <v>20</v>
      </c>
      <c r="D81" t="s">
        <v>71</v>
      </c>
      <c r="E81" t="s">
        <v>8</v>
      </c>
      <c r="F81" t="s">
        <v>52</v>
      </c>
      <c r="G81">
        <v>400</v>
      </c>
      <c r="H81">
        <v>24</v>
      </c>
      <c r="I81">
        <v>2</v>
      </c>
      <c r="J81">
        <v>1.5</v>
      </c>
      <c r="K81">
        <v>0.6</v>
      </c>
      <c r="L81" t="s">
        <v>301</v>
      </c>
    </row>
    <row r="82" spans="1:12" x14ac:dyDescent="0.25">
      <c r="A82" t="s">
        <v>68</v>
      </c>
      <c r="B82" t="s">
        <v>70</v>
      </c>
      <c r="C82" t="s">
        <v>16</v>
      </c>
      <c r="D82" t="s">
        <v>71</v>
      </c>
      <c r="E82" t="s">
        <v>110</v>
      </c>
      <c r="F82" t="s">
        <v>52</v>
      </c>
      <c r="G82">
        <v>500</v>
      </c>
      <c r="H82">
        <v>100</v>
      </c>
      <c r="I82">
        <v>2</v>
      </c>
      <c r="J82">
        <v>2</v>
      </c>
      <c r="K82">
        <v>0.6</v>
      </c>
      <c r="L82" t="s">
        <v>302</v>
      </c>
    </row>
    <row r="83" spans="1:12" x14ac:dyDescent="0.25">
      <c r="A83" t="s">
        <v>68</v>
      </c>
      <c r="B83" t="s">
        <v>70</v>
      </c>
      <c r="C83" t="s">
        <v>22</v>
      </c>
      <c r="D83" t="s">
        <v>71</v>
      </c>
      <c r="E83" t="s">
        <v>110</v>
      </c>
      <c r="F83" t="s">
        <v>52</v>
      </c>
      <c r="G83">
        <v>500</v>
      </c>
      <c r="H83">
        <v>100</v>
      </c>
      <c r="I83">
        <v>2</v>
      </c>
      <c r="J83">
        <v>2</v>
      </c>
      <c r="K83">
        <v>0.6</v>
      </c>
      <c r="L83" t="s">
        <v>303</v>
      </c>
    </row>
    <row r="84" spans="1:12" x14ac:dyDescent="0.25">
      <c r="A84" t="s">
        <v>68</v>
      </c>
      <c r="B84" t="s">
        <v>70</v>
      </c>
      <c r="C84" t="s">
        <v>17</v>
      </c>
      <c r="D84" t="s">
        <v>76</v>
      </c>
      <c r="E84" t="s">
        <v>110</v>
      </c>
      <c r="F84" t="s">
        <v>52</v>
      </c>
      <c r="G84">
        <v>500</v>
      </c>
      <c r="H84">
        <v>100</v>
      </c>
      <c r="I84">
        <v>1.7</v>
      </c>
      <c r="J84">
        <v>1.7</v>
      </c>
      <c r="K84">
        <v>0.5</v>
      </c>
      <c r="L84" t="s">
        <v>304</v>
      </c>
    </row>
    <row r="85" spans="1:12" x14ac:dyDescent="0.25">
      <c r="A85" t="s">
        <v>68</v>
      </c>
      <c r="B85" t="s">
        <v>70</v>
      </c>
      <c r="C85" t="s">
        <v>21</v>
      </c>
      <c r="D85" t="s">
        <v>71</v>
      </c>
      <c r="E85" t="s">
        <v>110</v>
      </c>
      <c r="F85" t="s">
        <v>52</v>
      </c>
      <c r="G85">
        <v>250</v>
      </c>
      <c r="H85">
        <v>200</v>
      </c>
      <c r="I85">
        <v>2</v>
      </c>
      <c r="J85">
        <v>2</v>
      </c>
      <c r="K85">
        <v>0.5</v>
      </c>
      <c r="L85" t="s">
        <v>305</v>
      </c>
    </row>
    <row r="86" spans="1:12" x14ac:dyDescent="0.25">
      <c r="A86" t="s">
        <v>68</v>
      </c>
      <c r="B86" t="s">
        <v>70</v>
      </c>
      <c r="C86" t="s">
        <v>72</v>
      </c>
      <c r="D86" t="s">
        <v>75</v>
      </c>
      <c r="E86" t="s">
        <v>110</v>
      </c>
      <c r="F86" t="s">
        <v>52</v>
      </c>
      <c r="G86">
        <v>250</v>
      </c>
      <c r="H86">
        <v>200</v>
      </c>
      <c r="I86">
        <v>2</v>
      </c>
      <c r="J86">
        <v>2</v>
      </c>
      <c r="K86">
        <v>0.6</v>
      </c>
      <c r="L86" t="s">
        <v>306</v>
      </c>
    </row>
    <row r="87" spans="1:12" x14ac:dyDescent="0.25">
      <c r="A87" t="s">
        <v>68</v>
      </c>
      <c r="B87" t="s">
        <v>70</v>
      </c>
      <c r="C87" t="s">
        <v>23</v>
      </c>
      <c r="D87" t="s">
        <v>75</v>
      </c>
      <c r="E87" t="s">
        <v>110</v>
      </c>
      <c r="F87" t="s">
        <v>52</v>
      </c>
      <c r="G87">
        <v>3000</v>
      </c>
      <c r="H87">
        <v>266</v>
      </c>
      <c r="I87">
        <v>2</v>
      </c>
      <c r="J87">
        <v>2</v>
      </c>
      <c r="K87">
        <v>0.6</v>
      </c>
      <c r="L87" t="s">
        <v>307</v>
      </c>
    </row>
    <row r="88" spans="1:12" x14ac:dyDescent="0.25">
      <c r="A88" t="s">
        <v>68</v>
      </c>
      <c r="B88" t="s">
        <v>70</v>
      </c>
      <c r="C88" t="s">
        <v>18</v>
      </c>
      <c r="D88" t="s">
        <v>74</v>
      </c>
      <c r="E88" t="s">
        <v>110</v>
      </c>
      <c r="F88" t="s">
        <v>52</v>
      </c>
      <c r="G88">
        <v>2500</v>
      </c>
      <c r="H88">
        <v>100</v>
      </c>
      <c r="I88">
        <v>2</v>
      </c>
      <c r="J88">
        <v>2</v>
      </c>
      <c r="K88">
        <v>0.5</v>
      </c>
      <c r="L88" t="s">
        <v>308</v>
      </c>
    </row>
    <row r="89" spans="1:12" x14ac:dyDescent="0.25">
      <c r="A89" t="s">
        <v>68</v>
      </c>
      <c r="B89" t="s">
        <v>70</v>
      </c>
      <c r="C89" t="s">
        <v>24</v>
      </c>
      <c r="D89" t="s">
        <v>73</v>
      </c>
      <c r="E89" t="s">
        <v>110</v>
      </c>
      <c r="F89" t="s">
        <v>52</v>
      </c>
      <c r="G89">
        <v>2000</v>
      </c>
      <c r="H89">
        <v>24</v>
      </c>
      <c r="I89">
        <v>2</v>
      </c>
      <c r="J89">
        <v>2</v>
      </c>
      <c r="K89">
        <v>0.8</v>
      </c>
      <c r="L89" t="s">
        <v>309</v>
      </c>
    </row>
    <row r="90" spans="1:12" x14ac:dyDescent="0.25">
      <c r="A90" t="s">
        <v>68</v>
      </c>
      <c r="B90" t="s">
        <v>70</v>
      </c>
      <c r="C90" t="s">
        <v>19</v>
      </c>
      <c r="D90" t="s">
        <v>71</v>
      </c>
      <c r="E90" t="s">
        <v>110</v>
      </c>
      <c r="F90" t="s">
        <v>52</v>
      </c>
      <c r="G90">
        <v>500</v>
      </c>
      <c r="H90">
        <v>100</v>
      </c>
      <c r="I90">
        <v>1.7</v>
      </c>
      <c r="J90">
        <v>1.7</v>
      </c>
      <c r="K90">
        <v>0.7</v>
      </c>
      <c r="L90" t="s">
        <v>310</v>
      </c>
    </row>
    <row r="91" spans="1:12" x14ac:dyDescent="0.25">
      <c r="A91" t="s">
        <v>68</v>
      </c>
      <c r="B91" t="s">
        <v>70</v>
      </c>
      <c r="C91" t="s">
        <v>20</v>
      </c>
      <c r="D91" t="s">
        <v>71</v>
      </c>
      <c r="E91" t="s">
        <v>110</v>
      </c>
      <c r="F91" t="s">
        <v>52</v>
      </c>
      <c r="G91">
        <v>3000</v>
      </c>
      <c r="H91">
        <v>32</v>
      </c>
      <c r="I91">
        <v>2</v>
      </c>
      <c r="J91">
        <v>2</v>
      </c>
      <c r="K91">
        <v>0.6</v>
      </c>
      <c r="L91" t="s">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CB8C-EA22-E14C-A57C-D406FD5CF4A5}">
  <dimension ref="A1:L91"/>
  <sheetViews>
    <sheetView workbookViewId="0">
      <selection activeCell="C48" sqref="C48"/>
    </sheetView>
  </sheetViews>
  <sheetFormatPr defaultColWidth="11" defaultRowHeight="15.75" x14ac:dyDescent="0.25"/>
  <cols>
    <col min="3" max="3" width="13.375" bestFit="1" customWidth="1"/>
    <col min="4" max="4" width="13.375" customWidth="1"/>
    <col min="9" max="9" width="12.5" bestFit="1" customWidth="1"/>
  </cols>
  <sheetData>
    <row r="1" spans="1:12" x14ac:dyDescent="0.25">
      <c r="A1" t="s">
        <v>0</v>
      </c>
      <c r="B1" t="s">
        <v>39</v>
      </c>
      <c r="C1" t="s">
        <v>1</v>
      </c>
      <c r="D1" t="s">
        <v>108</v>
      </c>
      <c r="E1" t="s">
        <v>3</v>
      </c>
      <c r="F1" t="s">
        <v>37</v>
      </c>
      <c r="G1" t="s">
        <v>40</v>
      </c>
      <c r="H1" t="s">
        <v>41</v>
      </c>
      <c r="I1" t="s">
        <v>77</v>
      </c>
      <c r="J1" t="s">
        <v>78</v>
      </c>
      <c r="K1" t="s">
        <v>79</v>
      </c>
      <c r="L1" t="s">
        <v>106</v>
      </c>
    </row>
    <row r="2" spans="1:12" x14ac:dyDescent="0.25">
      <c r="A2" t="s">
        <v>68</v>
      </c>
      <c r="B2" t="s">
        <v>81</v>
      </c>
      <c r="C2" t="s">
        <v>16</v>
      </c>
      <c r="D2" s="6" t="s">
        <v>71</v>
      </c>
      <c r="E2" t="s">
        <v>107</v>
      </c>
      <c r="F2" t="s">
        <v>38</v>
      </c>
      <c r="G2">
        <v>100</v>
      </c>
      <c r="H2">
        <v>50</v>
      </c>
      <c r="I2">
        <v>30</v>
      </c>
      <c r="J2">
        <v>0.5</v>
      </c>
      <c r="K2">
        <v>2</v>
      </c>
      <c r="L2" t="str" cm="1">
        <f t="array" ref="L2">CONCATENATE("I'm using mealpy library to solve Job-Shop Scheduling Problem. My problem instance has ", _xlfn.CHOOSECOLS(_xlfn.TEXTSPLIT(D2,"_"),1)," jobs and ", _xlfn.CHOOSECOLS(_xlfn.TEXTSPLIT(D2,"_"),2),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 spans="1:12" x14ac:dyDescent="0.25">
      <c r="A3" t="s">
        <v>68</v>
      </c>
      <c r="B3" t="s">
        <v>81</v>
      </c>
      <c r="C3" t="s">
        <v>22</v>
      </c>
      <c r="D3" s="6" t="s">
        <v>71</v>
      </c>
      <c r="E3" t="s">
        <v>107</v>
      </c>
      <c r="F3" t="s">
        <v>38</v>
      </c>
      <c r="G3">
        <v>500</v>
      </c>
      <c r="H3">
        <v>50</v>
      </c>
      <c r="I3">
        <v>25</v>
      </c>
      <c r="J3">
        <v>0.5</v>
      </c>
      <c r="K3">
        <v>2</v>
      </c>
      <c r="L3" t="str" cm="1">
        <f t="array" ref="L3">CONCATENATE("I'm using mealpy library to solve Job-Shop Scheduling Problem. My problem instance has ", _xlfn.CHOOSECOLS(_xlfn.TEXTSPLIT(D3,"_"),1)," jobs and ", _xlfn.CHOOSECOLS(_xlfn.TEXTSPLIT(D3,"_"),2),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4" spans="1:12" x14ac:dyDescent="0.25">
      <c r="A4" t="s">
        <v>68</v>
      </c>
      <c r="B4" t="s">
        <v>81</v>
      </c>
      <c r="C4" t="s">
        <v>17</v>
      </c>
      <c r="D4" s="6" t="s">
        <v>76</v>
      </c>
      <c r="E4" t="s">
        <v>107</v>
      </c>
      <c r="F4" t="s">
        <v>38</v>
      </c>
      <c r="G4">
        <v>100</v>
      </c>
      <c r="H4">
        <v>50</v>
      </c>
      <c r="I4">
        <v>25</v>
      </c>
      <c r="J4">
        <v>0.5</v>
      </c>
      <c r="K4">
        <v>2</v>
      </c>
      <c r="L4" t="str" cm="1">
        <f t="array" ref="L4">CONCATENATE("I'm using mealpy library to solve Job-Shop Scheduling Problem. My problem instance has ", _xlfn.CHOOSECOLS(_xlfn.TEXTSPLIT(D4,"_"),1)," jobs and ", _xlfn.CHOOSECOLS(_xlfn.TEXTSPLIT(D4,"_"),2),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6 jobs and 6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5" spans="1:12" x14ac:dyDescent="0.25">
      <c r="A5" t="s">
        <v>68</v>
      </c>
      <c r="B5" t="s">
        <v>81</v>
      </c>
      <c r="C5" t="s">
        <v>21</v>
      </c>
      <c r="D5" s="6" t="s">
        <v>71</v>
      </c>
      <c r="E5" t="s">
        <v>107</v>
      </c>
      <c r="F5" t="s">
        <v>38</v>
      </c>
      <c r="G5">
        <v>1000</v>
      </c>
      <c r="H5">
        <v>50</v>
      </c>
      <c r="I5">
        <v>25</v>
      </c>
      <c r="J5">
        <v>0.5</v>
      </c>
      <c r="K5">
        <v>2</v>
      </c>
      <c r="L5" t="str" cm="1">
        <f t="array" ref="L5">CONCATENATE("I'm using mealpy library to solve Job-Shop Scheduling Problem. My problem instance has ", _xlfn.CHOOSECOLS(_xlfn.TEXTSPLIT(D5,"_"),1)," jobs and ", _xlfn.CHOOSECOLS(_xlfn.TEXTSPLIT(D5,"_"),2),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6" spans="1:12" x14ac:dyDescent="0.25">
      <c r="A6" t="s">
        <v>68</v>
      </c>
      <c r="B6" t="s">
        <v>81</v>
      </c>
      <c r="C6" t="s">
        <v>72</v>
      </c>
      <c r="D6" s="6" t="s">
        <v>75</v>
      </c>
      <c r="E6" t="s">
        <v>107</v>
      </c>
      <c r="F6" t="s">
        <v>38</v>
      </c>
      <c r="G6">
        <v>100</v>
      </c>
      <c r="H6">
        <v>50</v>
      </c>
      <c r="I6">
        <v>20</v>
      </c>
      <c r="J6">
        <v>0.5</v>
      </c>
      <c r="K6">
        <v>2</v>
      </c>
      <c r="L6" t="str" cm="1">
        <f t="array" ref="L6">CONCATENATE("I'm using mealpy library to solve Job-Shop Scheduling Problem. My problem instance has ", _xlfn.CHOOSECOLS(_xlfn.TEXTSPLIT(D6,"_"),1)," jobs and ", _xlfn.CHOOSECOLS(_xlfn.TEXTSPLIT(D6,"_"),2),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7" spans="1:12" x14ac:dyDescent="0.25">
      <c r="A7" t="s">
        <v>68</v>
      </c>
      <c r="B7" t="s">
        <v>81</v>
      </c>
      <c r="C7" t="s">
        <v>23</v>
      </c>
      <c r="D7" s="6" t="s">
        <v>75</v>
      </c>
      <c r="E7" t="s">
        <v>107</v>
      </c>
      <c r="F7" t="s">
        <v>38</v>
      </c>
      <c r="G7">
        <v>100</v>
      </c>
      <c r="H7">
        <v>50</v>
      </c>
      <c r="I7">
        <v>25</v>
      </c>
      <c r="J7">
        <v>0.5</v>
      </c>
      <c r="K7">
        <v>2</v>
      </c>
      <c r="L7" t="str" cm="1">
        <f t="array" ref="L7">CONCATENATE("I'm using mealpy library to solve Job-Shop Scheduling Problem. My problem instance has ", _xlfn.CHOOSECOLS(_xlfn.TEXTSPLIT(D7,"_"),1)," jobs and ", _xlfn.CHOOSECOLS(_xlfn.TEXTSPLIT(D7,"_"),2),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8" spans="1:12" x14ac:dyDescent="0.25">
      <c r="A8" t="s">
        <v>68</v>
      </c>
      <c r="B8" t="s">
        <v>81</v>
      </c>
      <c r="C8" t="s">
        <v>18</v>
      </c>
      <c r="D8" s="6" t="s">
        <v>74</v>
      </c>
      <c r="E8" t="s">
        <v>107</v>
      </c>
      <c r="F8" t="s">
        <v>38</v>
      </c>
      <c r="G8">
        <v>100</v>
      </c>
      <c r="H8">
        <v>50</v>
      </c>
      <c r="I8">
        <v>25</v>
      </c>
      <c r="J8">
        <v>0.5</v>
      </c>
      <c r="K8">
        <v>2</v>
      </c>
      <c r="L8" t="str" cm="1">
        <f t="array" ref="L8">CONCATENATE("I'm using mealpy library to solve Job-Shop Scheduling Problem. My problem instance has ", _xlfn.CHOOSECOLS(_xlfn.TEXTSPLIT(D8,"_"),1)," jobs and ", _xlfn.CHOOSECOLS(_xlfn.TEXTSPLIT(D8,"_"),2),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15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9" spans="1:12" x14ac:dyDescent="0.25">
      <c r="A9" t="s">
        <v>68</v>
      </c>
      <c r="B9" t="s">
        <v>81</v>
      </c>
      <c r="C9" t="s">
        <v>24</v>
      </c>
      <c r="D9" s="6" t="s">
        <v>73</v>
      </c>
      <c r="E9" t="s">
        <v>107</v>
      </c>
      <c r="F9" t="s">
        <v>38</v>
      </c>
      <c r="G9">
        <v>500</v>
      </c>
      <c r="H9">
        <v>50</v>
      </c>
      <c r="I9">
        <v>25</v>
      </c>
      <c r="J9">
        <v>0.5</v>
      </c>
      <c r="K9">
        <v>2</v>
      </c>
      <c r="L9" t="str" cm="1">
        <f t="array" ref="L9">CONCATENATE("I'm using mealpy library to solve Job-Shop Scheduling Problem. My problem instance has ", _xlfn.CHOOSECOLS(_xlfn.TEXTSPLIT(D9,"_"),1)," jobs and ", _xlfn.CHOOSECOLS(_xlfn.TEXTSPLIT(D9,"_"),2),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20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0" spans="1:12" x14ac:dyDescent="0.25">
      <c r="A10" t="s">
        <v>68</v>
      </c>
      <c r="B10" t="s">
        <v>81</v>
      </c>
      <c r="C10" t="s">
        <v>19</v>
      </c>
      <c r="D10" s="6" t="s">
        <v>71</v>
      </c>
      <c r="E10" t="s">
        <v>107</v>
      </c>
      <c r="F10" t="s">
        <v>38</v>
      </c>
      <c r="G10">
        <v>100</v>
      </c>
      <c r="H10">
        <v>50</v>
      </c>
      <c r="I10">
        <v>25</v>
      </c>
      <c r="J10">
        <v>0.5</v>
      </c>
      <c r="K10">
        <v>2</v>
      </c>
      <c r="L10" t="str" cm="1">
        <f t="array" ref="L10">CONCATENATE("I'm using mealpy library to solve Job-Shop Scheduling Problem. My problem instance has ", _xlfn.CHOOSECOLS(_xlfn.TEXTSPLIT(D10,"_"),1)," jobs and ", _xlfn.CHOOSECOLS(_xlfn.TEXTSPLIT(D10,"_"),2),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1" spans="1:12" x14ac:dyDescent="0.25">
      <c r="A11" t="s">
        <v>68</v>
      </c>
      <c r="B11" t="s">
        <v>81</v>
      </c>
      <c r="C11" t="s">
        <v>20</v>
      </c>
      <c r="D11" s="6" t="s">
        <v>71</v>
      </c>
      <c r="E11" t="s">
        <v>107</v>
      </c>
      <c r="F11" t="s">
        <v>38</v>
      </c>
      <c r="G11">
        <v>100</v>
      </c>
      <c r="H11">
        <v>50</v>
      </c>
      <c r="I11">
        <v>25</v>
      </c>
      <c r="J11">
        <v>0.5</v>
      </c>
      <c r="K11">
        <v>2</v>
      </c>
      <c r="L11" t="str" cm="1">
        <f t="array" ref="L11">CONCATENATE("I'm using mealpy library to solve Job-Shop Scheduling Problem. My problem instance has ", _xlfn.CHOOSECOLS(_xlfn.TEXTSPLIT(D11,"_"),1)," jobs and ", _xlfn.CHOOSECOLS(_xlfn.TEXTSPLIT(D11,"_"),2),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2" spans="1:12" x14ac:dyDescent="0.25">
      <c r="A12" t="s">
        <v>68</v>
      </c>
      <c r="B12" t="s">
        <v>81</v>
      </c>
      <c r="C12" t="s">
        <v>16</v>
      </c>
      <c r="D12" t="s">
        <v>71</v>
      </c>
      <c r="E12" t="s">
        <v>109</v>
      </c>
      <c r="F12" t="s">
        <v>38</v>
      </c>
      <c r="G12">
        <v>100</v>
      </c>
      <c r="H12">
        <v>50</v>
      </c>
      <c r="I12">
        <v>20</v>
      </c>
      <c r="J12">
        <v>0.5</v>
      </c>
      <c r="K12">
        <v>2</v>
      </c>
      <c r="L12" t="str" cm="1">
        <f t="array" ref="L12">CONCATENATE("I'm using mealpy library to solve Job-Shop Scheduling Problem. My problem instance has ", _xlfn.CHOOSECOLS(_xlfn.TEXTSPLIT(D12,"_"),1)," jobs and ", _xlfn.CHOOSECOLS(_xlfn.TEXTSPLIT(D12,"_"),2),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3" spans="1:12" x14ac:dyDescent="0.25">
      <c r="A13" t="s">
        <v>68</v>
      </c>
      <c r="B13" t="s">
        <v>81</v>
      </c>
      <c r="C13" t="s">
        <v>22</v>
      </c>
      <c r="D13" t="s">
        <v>71</v>
      </c>
      <c r="E13" t="s">
        <v>109</v>
      </c>
      <c r="F13" t="s">
        <v>38</v>
      </c>
      <c r="G13">
        <v>100</v>
      </c>
      <c r="H13">
        <v>50</v>
      </c>
      <c r="I13">
        <v>20</v>
      </c>
      <c r="J13">
        <v>0.5</v>
      </c>
      <c r="K13">
        <v>2</v>
      </c>
      <c r="L13" t="str" cm="1">
        <f t="array" ref="L13">CONCATENATE("I'm using mealpy library to solve Job-Shop Scheduling Problem. My problem instance has ", _xlfn.CHOOSECOLS(_xlfn.TEXTSPLIT(D13,"_"),1)," jobs and ", _xlfn.CHOOSECOLS(_xlfn.TEXTSPLIT(D13,"_"),2),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4" spans="1:12" x14ac:dyDescent="0.25">
      <c r="A14" t="s">
        <v>68</v>
      </c>
      <c r="B14" t="s">
        <v>81</v>
      </c>
      <c r="C14" t="s">
        <v>17</v>
      </c>
      <c r="D14" t="s">
        <v>76</v>
      </c>
      <c r="E14" t="s">
        <v>109</v>
      </c>
      <c r="F14" t="s">
        <v>38</v>
      </c>
      <c r="G14">
        <v>100</v>
      </c>
      <c r="H14">
        <v>50</v>
      </c>
      <c r="I14">
        <v>10</v>
      </c>
      <c r="J14">
        <v>0.8</v>
      </c>
      <c r="K14">
        <v>2</v>
      </c>
      <c r="L14" t="str" cm="1">
        <f t="array" ref="L14">CONCATENATE("I'm using mealpy library to solve Job-Shop Scheduling Problem. My problem instance has ", _xlfn.CHOOSECOLS(_xlfn.TEXTSPLIT(D14,"_"),1)," jobs and ", _xlfn.CHOOSECOLS(_xlfn.TEXTSPLIT(D14,"_"),2),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6 jobs and 6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5" spans="1:12" x14ac:dyDescent="0.25">
      <c r="A15" t="s">
        <v>68</v>
      </c>
      <c r="B15" t="s">
        <v>81</v>
      </c>
      <c r="C15" t="s">
        <v>21</v>
      </c>
      <c r="D15" t="s">
        <v>71</v>
      </c>
      <c r="E15" t="s">
        <v>109</v>
      </c>
      <c r="F15" t="s">
        <v>38</v>
      </c>
      <c r="G15">
        <v>100</v>
      </c>
      <c r="H15">
        <v>50</v>
      </c>
      <c r="I15">
        <v>30</v>
      </c>
      <c r="J15">
        <v>0.7</v>
      </c>
      <c r="K15">
        <v>2</v>
      </c>
      <c r="L15" t="str" cm="1">
        <f t="array" ref="L15">CONCATENATE("I'm using mealpy library to solve Job-Shop Scheduling Problem. My problem instance has ", _xlfn.CHOOSECOLS(_xlfn.TEXTSPLIT(D15,"_"),1)," jobs and ", _xlfn.CHOOSECOLS(_xlfn.TEXTSPLIT(D15,"_"),2),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6" spans="1:12" x14ac:dyDescent="0.25">
      <c r="A16" t="s">
        <v>68</v>
      </c>
      <c r="B16" t="s">
        <v>81</v>
      </c>
      <c r="C16" t="s">
        <v>72</v>
      </c>
      <c r="D16" t="s">
        <v>75</v>
      </c>
      <c r="E16" t="s">
        <v>109</v>
      </c>
      <c r="F16" t="s">
        <v>38</v>
      </c>
      <c r="G16">
        <v>100</v>
      </c>
      <c r="H16">
        <v>50</v>
      </c>
      <c r="I16">
        <v>5</v>
      </c>
      <c r="J16">
        <v>0.8</v>
      </c>
      <c r="K16">
        <v>2</v>
      </c>
      <c r="L16" t="str" cm="1">
        <f t="array" ref="L16">CONCATENATE("I'm using mealpy library to solve Job-Shop Scheduling Problem. My problem instance has ", _xlfn.CHOOSECOLS(_xlfn.TEXTSPLIT(D16,"_"),1)," jobs and ", _xlfn.CHOOSECOLS(_xlfn.TEXTSPLIT(D16,"_"),2),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7" spans="1:12" x14ac:dyDescent="0.25">
      <c r="A17" t="s">
        <v>68</v>
      </c>
      <c r="B17" t="s">
        <v>81</v>
      </c>
      <c r="C17" t="s">
        <v>23</v>
      </c>
      <c r="D17" t="s">
        <v>75</v>
      </c>
      <c r="E17" t="s">
        <v>109</v>
      </c>
      <c r="F17" t="s">
        <v>38</v>
      </c>
      <c r="G17">
        <v>1000</v>
      </c>
      <c r="H17">
        <v>50</v>
      </c>
      <c r="I17">
        <v>30</v>
      </c>
      <c r="J17">
        <v>0.9</v>
      </c>
      <c r="K17">
        <v>2</v>
      </c>
      <c r="L17" t="str" cm="1">
        <f t="array" ref="L17">CONCATENATE("I'm using mealpy library to solve Job-Shop Scheduling Problem. My problem instance has ", _xlfn.CHOOSECOLS(_xlfn.TEXTSPLIT(D17,"_"),1)," jobs and ", _xlfn.CHOOSECOLS(_xlfn.TEXTSPLIT(D17,"_"),2),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8" spans="1:12" x14ac:dyDescent="0.25">
      <c r="A18" t="s">
        <v>68</v>
      </c>
      <c r="B18" t="s">
        <v>81</v>
      </c>
      <c r="C18" t="s">
        <v>18</v>
      </c>
      <c r="D18" t="s">
        <v>74</v>
      </c>
      <c r="E18" t="s">
        <v>109</v>
      </c>
      <c r="F18" t="s">
        <v>38</v>
      </c>
      <c r="G18">
        <v>1000</v>
      </c>
      <c r="H18">
        <v>50</v>
      </c>
      <c r="I18">
        <v>30</v>
      </c>
      <c r="J18">
        <v>0.8</v>
      </c>
      <c r="K18">
        <v>2</v>
      </c>
      <c r="L18" t="str" cm="1">
        <f t="array" ref="L18">CONCATENATE("I'm using mealpy library to solve Job-Shop Scheduling Problem. My problem instance has ", _xlfn.CHOOSECOLS(_xlfn.TEXTSPLIT(D18,"_"),1)," jobs and ", _xlfn.CHOOSECOLS(_xlfn.TEXTSPLIT(D18,"_"),2),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15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19" spans="1:12" x14ac:dyDescent="0.25">
      <c r="A19" t="s">
        <v>68</v>
      </c>
      <c r="B19" t="s">
        <v>81</v>
      </c>
      <c r="C19" t="s">
        <v>24</v>
      </c>
      <c r="D19" t="s">
        <v>73</v>
      </c>
      <c r="E19" t="s">
        <v>109</v>
      </c>
      <c r="F19" t="s">
        <v>38</v>
      </c>
      <c r="G19">
        <v>100</v>
      </c>
      <c r="H19">
        <v>50</v>
      </c>
      <c r="I19">
        <v>10</v>
      </c>
      <c r="J19">
        <v>0.8</v>
      </c>
      <c r="K19">
        <v>2</v>
      </c>
      <c r="L19" t="str" cm="1">
        <f t="array" ref="L19">CONCATENATE("I'm using mealpy library to solve Job-Shop Scheduling Problem. My problem instance has ", _xlfn.CHOOSECOLS(_xlfn.TEXTSPLIT(D19,"_"),1)," jobs and ", _xlfn.CHOOSECOLS(_xlfn.TEXTSPLIT(D19,"_"),2),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20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0" spans="1:12" x14ac:dyDescent="0.25">
      <c r="A20" t="s">
        <v>68</v>
      </c>
      <c r="B20" t="s">
        <v>81</v>
      </c>
      <c r="C20" t="s">
        <v>19</v>
      </c>
      <c r="D20" t="s">
        <v>71</v>
      </c>
      <c r="E20" t="s">
        <v>109</v>
      </c>
      <c r="F20" t="s">
        <v>38</v>
      </c>
      <c r="G20">
        <v>1000</v>
      </c>
      <c r="H20">
        <v>50</v>
      </c>
      <c r="I20">
        <v>30</v>
      </c>
      <c r="J20">
        <v>0.9</v>
      </c>
      <c r="K20">
        <v>2</v>
      </c>
      <c r="L20" t="str" cm="1">
        <f t="array" ref="L20">CONCATENATE("I'm using mealpy library to solve Job-Shop Scheduling Problem. My problem instance has ", _xlfn.CHOOSECOLS(_xlfn.TEXTSPLIT(D20,"_"),1)," jobs and ", _xlfn.CHOOSECOLS(_xlfn.TEXTSPLIT(D20,"_"),2),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1" spans="1:12" x14ac:dyDescent="0.25">
      <c r="A21" t="s">
        <v>68</v>
      </c>
      <c r="B21" t="s">
        <v>81</v>
      </c>
      <c r="C21" t="s">
        <v>20</v>
      </c>
      <c r="D21" t="s">
        <v>71</v>
      </c>
      <c r="E21" t="s">
        <v>109</v>
      </c>
      <c r="F21" t="s">
        <v>38</v>
      </c>
      <c r="G21">
        <v>100</v>
      </c>
      <c r="H21">
        <v>50</v>
      </c>
      <c r="I21">
        <v>30</v>
      </c>
      <c r="J21">
        <v>0.8</v>
      </c>
      <c r="K21">
        <v>2</v>
      </c>
      <c r="L21" t="str" cm="1">
        <f t="array" ref="L21">CONCATENATE("I'm using mealpy library to solve Job-Shop Scheduling Problem. My problem instance has ", _xlfn.CHOOSECOLS(_xlfn.TEXTSPLIT(D21,"_"),1)," jobs and ", _xlfn.CHOOSECOLS(_xlfn.TEXTSPLIT(D21,"_"),2),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2" spans="1:12" x14ac:dyDescent="0.25">
      <c r="A22" t="s">
        <v>68</v>
      </c>
      <c r="B22" t="s">
        <v>81</v>
      </c>
      <c r="C22" t="s">
        <v>16</v>
      </c>
      <c r="D22" t="s">
        <v>71</v>
      </c>
      <c r="E22" t="s">
        <v>8</v>
      </c>
      <c r="F22" t="s">
        <v>38</v>
      </c>
      <c r="G22">
        <v>100</v>
      </c>
      <c r="H22">
        <v>50</v>
      </c>
      <c r="I22">
        <v>10</v>
      </c>
      <c r="J22">
        <v>0.7</v>
      </c>
      <c r="K22">
        <v>2</v>
      </c>
      <c r="L22" t="str" cm="1">
        <f t="array" ref="L22">CONCATENATE("I'm using mealpy library to solve Job-Shop Scheduling Problem. My problem instance has ", _xlfn.CHOOSECOLS(_xlfn.TEXTSPLIT(D22,"_"),1)," jobs and ", _xlfn.CHOOSECOLS(_xlfn.TEXTSPLIT(D22,"_"),2),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3" spans="1:12" x14ac:dyDescent="0.25">
      <c r="A23" t="s">
        <v>68</v>
      </c>
      <c r="B23" t="s">
        <v>81</v>
      </c>
      <c r="C23" t="s">
        <v>22</v>
      </c>
      <c r="D23" t="s">
        <v>71</v>
      </c>
      <c r="E23" t="s">
        <v>8</v>
      </c>
      <c r="F23" t="s">
        <v>38</v>
      </c>
      <c r="G23">
        <v>100</v>
      </c>
      <c r="H23">
        <v>50</v>
      </c>
      <c r="I23">
        <v>20</v>
      </c>
      <c r="J23">
        <v>0.7</v>
      </c>
      <c r="K23">
        <v>2</v>
      </c>
      <c r="L23" t="str" cm="1">
        <f t="array" ref="L23">CONCATENATE("I'm using mealpy library to solve Job-Shop Scheduling Problem. My problem instance has ", _xlfn.CHOOSECOLS(_xlfn.TEXTSPLIT(D23,"_"),1)," jobs and ", _xlfn.CHOOSECOLS(_xlfn.TEXTSPLIT(D23,"_"),2),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4" spans="1:12" x14ac:dyDescent="0.25">
      <c r="A24" t="s">
        <v>68</v>
      </c>
      <c r="B24" t="s">
        <v>81</v>
      </c>
      <c r="C24" t="s">
        <v>17</v>
      </c>
      <c r="D24" t="s">
        <v>76</v>
      </c>
      <c r="E24" t="s">
        <v>8</v>
      </c>
      <c r="F24" t="s">
        <v>38</v>
      </c>
      <c r="G24">
        <v>100</v>
      </c>
      <c r="H24">
        <v>20</v>
      </c>
      <c r="I24">
        <v>5</v>
      </c>
      <c r="J24">
        <v>0.7</v>
      </c>
      <c r="K24">
        <v>2</v>
      </c>
      <c r="L24" t="str" cm="1">
        <f t="array" ref="L24">CONCATENATE("I'm using mealpy library to solve Job-Shop Scheduling Problem. My problem instance has ", _xlfn.CHOOSECOLS(_xlfn.TEXTSPLIT(D24,"_"),1)," jobs and ", _xlfn.CHOOSECOLS(_xlfn.TEXTSPLIT(D24,"_"),2),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6 jobs and 6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5" spans="1:12" x14ac:dyDescent="0.25">
      <c r="A25" t="s">
        <v>68</v>
      </c>
      <c r="B25" t="s">
        <v>81</v>
      </c>
      <c r="C25" t="s">
        <v>21</v>
      </c>
      <c r="D25" t="s">
        <v>71</v>
      </c>
      <c r="E25" t="s">
        <v>8</v>
      </c>
      <c r="F25" t="s">
        <v>38</v>
      </c>
      <c r="G25">
        <v>100</v>
      </c>
      <c r="H25">
        <v>50</v>
      </c>
      <c r="I25">
        <v>20</v>
      </c>
      <c r="J25">
        <v>0.8</v>
      </c>
      <c r="K25">
        <v>2</v>
      </c>
      <c r="L25" t="str" cm="1">
        <f t="array" ref="L25">CONCATENATE("I'm using mealpy library to solve Job-Shop Scheduling Problem. My problem instance has ", _xlfn.CHOOSECOLS(_xlfn.TEXTSPLIT(D25,"_"),1)," jobs and ", _xlfn.CHOOSECOLS(_xlfn.TEXTSPLIT(D25,"_"),2),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6" spans="1:12" x14ac:dyDescent="0.25">
      <c r="A26" t="s">
        <v>68</v>
      </c>
      <c r="B26" t="s">
        <v>81</v>
      </c>
      <c r="C26" t="s">
        <v>72</v>
      </c>
      <c r="D26" t="s">
        <v>75</v>
      </c>
      <c r="E26" t="s">
        <v>8</v>
      </c>
      <c r="F26" t="s">
        <v>38</v>
      </c>
      <c r="G26">
        <v>100</v>
      </c>
      <c r="H26">
        <v>50</v>
      </c>
      <c r="I26">
        <v>20</v>
      </c>
      <c r="J26">
        <v>0.6</v>
      </c>
      <c r="K26">
        <v>2</v>
      </c>
      <c r="L26" t="str" cm="1">
        <f t="array" ref="L26">CONCATENATE("I'm using mealpy library to solve Job-Shop Scheduling Problem. My problem instance has ", _xlfn.CHOOSECOLS(_xlfn.TEXTSPLIT(D26,"_"),1)," jobs and ", _xlfn.CHOOSECOLS(_xlfn.TEXTSPLIT(D26,"_"),2),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7" spans="1:12" x14ac:dyDescent="0.25">
      <c r="A27" t="s">
        <v>68</v>
      </c>
      <c r="B27" t="s">
        <v>81</v>
      </c>
      <c r="C27" t="s">
        <v>23</v>
      </c>
      <c r="D27" t="s">
        <v>75</v>
      </c>
      <c r="E27" t="s">
        <v>8</v>
      </c>
      <c r="F27" t="s">
        <v>38</v>
      </c>
      <c r="G27">
        <v>100</v>
      </c>
      <c r="H27">
        <v>50</v>
      </c>
      <c r="I27">
        <v>10</v>
      </c>
      <c r="J27">
        <v>0.7</v>
      </c>
      <c r="K27">
        <v>2</v>
      </c>
      <c r="L27" t="str" cm="1">
        <f t="array" ref="L27">CONCATENATE("I'm using mealpy library to solve Job-Shop Scheduling Problem. My problem instance has ", _xlfn.CHOOSECOLS(_xlfn.TEXTSPLIT(D27,"_"),1)," jobs and ", _xlfn.CHOOSECOLS(_xlfn.TEXTSPLIT(D27,"_"),2),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8" spans="1:12" x14ac:dyDescent="0.25">
      <c r="A28" t="s">
        <v>68</v>
      </c>
      <c r="B28" t="s">
        <v>81</v>
      </c>
      <c r="C28" t="s">
        <v>18</v>
      </c>
      <c r="D28" t="s">
        <v>74</v>
      </c>
      <c r="E28" t="s">
        <v>8</v>
      </c>
      <c r="F28" t="s">
        <v>38</v>
      </c>
      <c r="G28">
        <v>100</v>
      </c>
      <c r="H28">
        <v>20</v>
      </c>
      <c r="I28">
        <v>10</v>
      </c>
      <c r="J28">
        <v>0.8</v>
      </c>
      <c r="K28">
        <v>2</v>
      </c>
      <c r="L28" t="str" cm="1">
        <f t="array" ref="L28">CONCATENATE("I'm using mealpy library to solve Job-Shop Scheduling Problem. My problem instance has ", _xlfn.CHOOSECOLS(_xlfn.TEXTSPLIT(D28,"_"),1)," jobs and ", _xlfn.CHOOSECOLS(_xlfn.TEXTSPLIT(D28,"_"),2),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15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29" spans="1:12" x14ac:dyDescent="0.25">
      <c r="A29" t="s">
        <v>68</v>
      </c>
      <c r="B29" t="s">
        <v>81</v>
      </c>
      <c r="C29" t="s">
        <v>24</v>
      </c>
      <c r="D29" t="s">
        <v>73</v>
      </c>
      <c r="E29" t="s">
        <v>8</v>
      </c>
      <c r="F29" t="s">
        <v>38</v>
      </c>
      <c r="G29">
        <v>100</v>
      </c>
      <c r="H29">
        <v>50</v>
      </c>
      <c r="I29">
        <v>20</v>
      </c>
      <c r="J29">
        <v>0.8</v>
      </c>
      <c r="K29">
        <v>2</v>
      </c>
      <c r="L29" t="str" cm="1">
        <f t="array" ref="L29">CONCATENATE("I'm using mealpy library to solve Job-Shop Scheduling Problem. My problem instance has ", _xlfn.CHOOSECOLS(_xlfn.TEXTSPLIT(D29,"_"),1)," jobs and ", _xlfn.CHOOSECOLS(_xlfn.TEXTSPLIT(D29,"_"),2),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20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0" spans="1:12" x14ac:dyDescent="0.25">
      <c r="A30" t="s">
        <v>68</v>
      </c>
      <c r="B30" t="s">
        <v>81</v>
      </c>
      <c r="C30" t="s">
        <v>19</v>
      </c>
      <c r="D30" t="s">
        <v>71</v>
      </c>
      <c r="E30" t="s">
        <v>8</v>
      </c>
      <c r="F30" t="s">
        <v>38</v>
      </c>
      <c r="G30">
        <v>100</v>
      </c>
      <c r="H30">
        <v>50</v>
      </c>
      <c r="I30">
        <v>25</v>
      </c>
      <c r="J30">
        <v>0.7</v>
      </c>
      <c r="K30">
        <v>2</v>
      </c>
      <c r="L30" t="str" cm="1">
        <f t="array" ref="L30">CONCATENATE("I'm using mealpy library to solve Job-Shop Scheduling Problem. My problem instance has ", _xlfn.CHOOSECOLS(_xlfn.TEXTSPLIT(D30,"_"),1)," jobs and ", _xlfn.CHOOSECOLS(_xlfn.TEXTSPLIT(D30,"_"),2),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1" spans="1:12" x14ac:dyDescent="0.25">
      <c r="A31" t="s">
        <v>68</v>
      </c>
      <c r="B31" t="s">
        <v>81</v>
      </c>
      <c r="C31" t="s">
        <v>20</v>
      </c>
      <c r="D31" t="s">
        <v>71</v>
      </c>
      <c r="E31" t="s">
        <v>8</v>
      </c>
      <c r="F31" t="s">
        <v>38</v>
      </c>
      <c r="G31">
        <v>100</v>
      </c>
      <c r="H31">
        <v>50</v>
      </c>
      <c r="I31">
        <v>20</v>
      </c>
      <c r="J31">
        <v>0.8</v>
      </c>
      <c r="K31">
        <v>2</v>
      </c>
      <c r="L31" t="str" cm="1">
        <f t="array" ref="L31">CONCATENATE("I'm using mealpy library to solve Job-Shop Scheduling Problem. My problem instance has ", _xlfn.CHOOSECOLS(_xlfn.TEXTSPLIT(D31,"_"),1)," jobs and ", _xlfn.CHOOSECOLS(_xlfn.TEXTSPLIT(D31,"_"),2),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2" spans="1:12" x14ac:dyDescent="0.25">
      <c r="A32" t="s">
        <v>68</v>
      </c>
      <c r="B32" t="s">
        <v>81</v>
      </c>
      <c r="C32" t="s">
        <v>16</v>
      </c>
      <c r="D32" t="s">
        <v>71</v>
      </c>
      <c r="E32" t="s">
        <v>110</v>
      </c>
      <c r="F32" t="s">
        <v>38</v>
      </c>
      <c r="G32">
        <v>1000</v>
      </c>
      <c r="H32">
        <v>50</v>
      </c>
      <c r="I32">
        <v>20</v>
      </c>
      <c r="J32">
        <v>0.5</v>
      </c>
      <c r="K32">
        <v>2</v>
      </c>
      <c r="L32" t="str" cm="1">
        <f t="array" ref="L32">CONCATENATE("I'm using mealpy library to solve Job-Shop Scheduling Problem. My problem instance has ", _xlfn.CHOOSECOLS(_xlfn.TEXTSPLIT(D32,"_"),1)," jobs and ", _xlfn.CHOOSECOLS(_xlfn.TEXTSPLIT(D32,"_"),2),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3" spans="1:12" x14ac:dyDescent="0.25">
      <c r="A33" t="s">
        <v>68</v>
      </c>
      <c r="B33" t="s">
        <v>81</v>
      </c>
      <c r="C33" t="s">
        <v>22</v>
      </c>
      <c r="D33" t="s">
        <v>71</v>
      </c>
      <c r="E33" t="s">
        <v>110</v>
      </c>
      <c r="F33" t="s">
        <v>38</v>
      </c>
      <c r="G33">
        <v>1000</v>
      </c>
      <c r="H33">
        <v>100</v>
      </c>
      <c r="I33">
        <v>10</v>
      </c>
      <c r="J33">
        <v>0.5</v>
      </c>
      <c r="K33">
        <v>1</v>
      </c>
      <c r="L33" t="str" cm="1">
        <f t="array" ref="L33">CONCATENATE("I'm using mealpy library to solve Job-Shop Scheduling Problem. My problem instance has ", _xlfn.CHOOSECOLS(_xlfn.TEXTSPLIT(D33,"_"),1)," jobs and ", _xlfn.CHOOSECOLS(_xlfn.TEXTSPLIT(D33,"_"),2),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4" spans="1:12" x14ac:dyDescent="0.25">
      <c r="A34" t="s">
        <v>68</v>
      </c>
      <c r="B34" t="s">
        <v>81</v>
      </c>
      <c r="C34" t="s">
        <v>17</v>
      </c>
      <c r="D34" t="s">
        <v>76</v>
      </c>
      <c r="E34" t="s">
        <v>110</v>
      </c>
      <c r="F34" t="s">
        <v>38</v>
      </c>
      <c r="G34">
        <v>100</v>
      </c>
      <c r="H34">
        <v>30</v>
      </c>
      <c r="I34">
        <v>10</v>
      </c>
      <c r="J34">
        <v>0.7</v>
      </c>
      <c r="K34">
        <v>2</v>
      </c>
      <c r="L34" t="str" cm="1">
        <f t="array" ref="L34">CONCATENATE("I'm using mealpy library to solve Job-Shop Scheduling Problem. My problem instance has ", _xlfn.CHOOSECOLS(_xlfn.TEXTSPLIT(D34,"_"),1)," jobs and ", _xlfn.CHOOSECOLS(_xlfn.TEXTSPLIT(D34,"_"),2),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6 jobs and 6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5" spans="1:12" x14ac:dyDescent="0.25">
      <c r="A35" t="s">
        <v>68</v>
      </c>
      <c r="B35" t="s">
        <v>81</v>
      </c>
      <c r="C35" t="s">
        <v>21</v>
      </c>
      <c r="D35" t="s">
        <v>71</v>
      </c>
      <c r="E35" t="s">
        <v>110</v>
      </c>
      <c r="F35" t="s">
        <v>38</v>
      </c>
      <c r="G35">
        <v>1000</v>
      </c>
      <c r="H35">
        <v>100</v>
      </c>
      <c r="I35">
        <v>50</v>
      </c>
      <c r="J35">
        <v>0.5</v>
      </c>
      <c r="K35">
        <v>1</v>
      </c>
      <c r="L35" t="str" cm="1">
        <f t="array" ref="L35">CONCATENATE("I'm using mealpy library to solve Job-Shop Scheduling Problem. My problem instance has ", _xlfn.CHOOSECOLS(_xlfn.TEXTSPLIT(D35,"_"),1)," jobs and ", _xlfn.CHOOSECOLS(_xlfn.TEXTSPLIT(D35,"_"),2),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6" spans="1:12" x14ac:dyDescent="0.25">
      <c r="A36" t="s">
        <v>68</v>
      </c>
      <c r="B36" t="s">
        <v>81</v>
      </c>
      <c r="C36" t="s">
        <v>72</v>
      </c>
      <c r="D36" t="s">
        <v>75</v>
      </c>
      <c r="E36" t="s">
        <v>110</v>
      </c>
      <c r="F36" t="s">
        <v>38</v>
      </c>
      <c r="G36">
        <v>1000</v>
      </c>
      <c r="H36">
        <v>30</v>
      </c>
      <c r="I36">
        <v>10</v>
      </c>
      <c r="J36">
        <v>0.5</v>
      </c>
      <c r="K36">
        <v>2</v>
      </c>
      <c r="L36" t="str" cm="1">
        <f t="array" ref="L36">CONCATENATE("I'm using mealpy library to solve Job-Shop Scheduling Problem. My problem instance has ", _xlfn.CHOOSECOLS(_xlfn.TEXTSPLIT(D36,"_"),1)," jobs and ", _xlfn.CHOOSECOLS(_xlfn.TEXTSPLIT(D36,"_"),2),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7" spans="1:12" x14ac:dyDescent="0.25">
      <c r="A37" t="s">
        <v>68</v>
      </c>
      <c r="B37" t="s">
        <v>81</v>
      </c>
      <c r="C37" t="s">
        <v>23</v>
      </c>
      <c r="D37" t="s">
        <v>75</v>
      </c>
      <c r="E37" t="s">
        <v>110</v>
      </c>
      <c r="F37" t="s">
        <v>38</v>
      </c>
      <c r="G37">
        <v>1000</v>
      </c>
      <c r="H37">
        <v>50</v>
      </c>
      <c r="I37">
        <v>20</v>
      </c>
      <c r="J37">
        <v>0.5</v>
      </c>
      <c r="K37">
        <v>2</v>
      </c>
      <c r="L37" t="str" cm="1">
        <f t="array" ref="L37">CONCATENATE("I'm using mealpy library to solve Job-Shop Scheduling Problem. My problem instance has ", _xlfn.CHOOSECOLS(_xlfn.TEXTSPLIT(D37,"_"),1)," jobs and ", _xlfn.CHOOSECOLS(_xlfn.TEXTSPLIT(D37,"_"),2),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8" spans="1:12" x14ac:dyDescent="0.25">
      <c r="A38" t="s">
        <v>68</v>
      </c>
      <c r="B38" t="s">
        <v>81</v>
      </c>
      <c r="C38" t="s">
        <v>18</v>
      </c>
      <c r="D38" t="s">
        <v>74</v>
      </c>
      <c r="E38" t="s">
        <v>110</v>
      </c>
      <c r="F38" t="s">
        <v>38</v>
      </c>
      <c r="G38">
        <v>100</v>
      </c>
      <c r="H38">
        <v>50</v>
      </c>
      <c r="I38">
        <v>20</v>
      </c>
      <c r="J38">
        <v>0.5</v>
      </c>
      <c r="K38">
        <v>2</v>
      </c>
      <c r="L38" t="str" cm="1">
        <f t="array" ref="L38">CONCATENATE("I'm using mealpy library to solve Job-Shop Scheduling Problem. My problem instance has ", _xlfn.CHOOSECOLS(_xlfn.TEXTSPLIT(D38,"_"),1)," jobs and ", _xlfn.CHOOSECOLS(_xlfn.TEXTSPLIT(D38,"_"),2),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15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39" spans="1:12" x14ac:dyDescent="0.25">
      <c r="A39" t="s">
        <v>68</v>
      </c>
      <c r="B39" t="s">
        <v>81</v>
      </c>
      <c r="C39" t="s">
        <v>24</v>
      </c>
      <c r="D39" t="s">
        <v>73</v>
      </c>
      <c r="E39" t="s">
        <v>110</v>
      </c>
      <c r="F39" t="s">
        <v>38</v>
      </c>
      <c r="G39">
        <v>1000</v>
      </c>
      <c r="H39">
        <v>50</v>
      </c>
      <c r="I39">
        <v>10</v>
      </c>
      <c r="J39">
        <v>0.5</v>
      </c>
      <c r="K39">
        <v>2</v>
      </c>
      <c r="L39" t="str" cm="1">
        <f t="array" ref="L39">CONCATENATE("I'm using mealpy library to solve Job-Shop Scheduling Problem. My problem instance has ", _xlfn.CHOOSECOLS(_xlfn.TEXTSPLIT(D39,"_"),1)," jobs and ", _xlfn.CHOOSECOLS(_xlfn.TEXTSPLIT(D39,"_"),2),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20 jobs and 5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40" spans="1:12" x14ac:dyDescent="0.25">
      <c r="A40" t="s">
        <v>68</v>
      </c>
      <c r="B40" t="s">
        <v>81</v>
      </c>
      <c r="C40" t="s">
        <v>19</v>
      </c>
      <c r="D40" t="s">
        <v>71</v>
      </c>
      <c r="E40" t="s">
        <v>110</v>
      </c>
      <c r="F40" t="s">
        <v>38</v>
      </c>
      <c r="G40">
        <v>1000</v>
      </c>
      <c r="H40">
        <v>50</v>
      </c>
      <c r="I40">
        <v>20</v>
      </c>
      <c r="J40">
        <v>0.5</v>
      </c>
      <c r="K40">
        <v>2</v>
      </c>
      <c r="L40" t="str" cm="1">
        <f t="array" ref="L40">CONCATENATE("I'm using mealpy library to solve Job-Shop Scheduling Problem. My problem instance has ", _xlfn.CHOOSECOLS(_xlfn.TEXTSPLIT(D40,"_"),1)," jobs and ", _xlfn.CHOOSECOLS(_xlfn.TEXTSPLIT(D40,"_"),2),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41" spans="1:12" x14ac:dyDescent="0.25">
      <c r="A41" t="s">
        <v>68</v>
      </c>
      <c r="B41" t="s">
        <v>81</v>
      </c>
      <c r="C41" t="s">
        <v>20</v>
      </c>
      <c r="D41" t="s">
        <v>71</v>
      </c>
      <c r="E41" t="s">
        <v>110</v>
      </c>
      <c r="F41" t="s">
        <v>38</v>
      </c>
      <c r="G41">
        <v>100</v>
      </c>
      <c r="H41">
        <v>50</v>
      </c>
      <c r="I41">
        <v>15</v>
      </c>
      <c r="J41">
        <v>0.5</v>
      </c>
      <c r="K41">
        <v>2</v>
      </c>
      <c r="L41" t="str" cm="1">
        <f t="array" ref="L41">CONCATENATE("I'm using mealpy library to solve Job-Shop Scheduling Problem. My problem instance has ", _xlfn.CHOOSECOLS(_xlfn.TEXTSPLIT(D41,"_"),1)," jobs and ", _xlfn.CHOOSECOLS(_xlfn.TEXTSPLIT(D41,"_"),2), " machines. ", " I want to use Ant Colony Optimizer to solve it. ", "Mealpy's implementation of ACO takes following parameters: epoch (int), pop_size (int), sample_count (int), intent_factor (float between 0.2 1nd 1.0), zeta (1,2,3). ", " In brackets I wrote possible parameter values or its type. Suggest me parameter values in this problem setup. Give exact values and present them in python dictionary.")</f>
        <v>I'm using mealpy library to solve Job-Shop Scheduling Problem. My problem instance has 10 jobs and 10 machines.  I want to use Ant Colony Optimizer to solve it. Mealpy's implementation of ACO takes following parameters: epoch (int), pop_size (int), sample_count (int), intent_factor (float between 0.2 1nd 1.0), zeta (1,2,3).  In brackets I wrote possible parameter values or its type. Suggest me parameter values in this problem setup. Give exact values and present them in python dictionary.</v>
      </c>
    </row>
    <row r="42" spans="1:12" x14ac:dyDescent="0.25">
      <c r="A42" t="s">
        <v>68</v>
      </c>
      <c r="B42" t="s">
        <v>81</v>
      </c>
      <c r="C42" t="s">
        <v>16</v>
      </c>
      <c r="D42" t="s">
        <v>71</v>
      </c>
      <c r="E42" t="s">
        <v>36</v>
      </c>
      <c r="F42" t="s">
        <v>38</v>
      </c>
      <c r="G42">
        <v>10000</v>
      </c>
      <c r="H42">
        <v>100</v>
      </c>
      <c r="I42">
        <v>25</v>
      </c>
      <c r="J42">
        <v>0.5</v>
      </c>
      <c r="K42">
        <v>1</v>
      </c>
    </row>
    <row r="43" spans="1:12" x14ac:dyDescent="0.25">
      <c r="A43" t="s">
        <v>68</v>
      </c>
      <c r="B43" t="s">
        <v>81</v>
      </c>
      <c r="C43" t="s">
        <v>22</v>
      </c>
      <c r="D43" t="s">
        <v>71</v>
      </c>
      <c r="E43" t="s">
        <v>36</v>
      </c>
      <c r="F43" t="s">
        <v>38</v>
      </c>
      <c r="G43">
        <v>10000</v>
      </c>
      <c r="H43">
        <v>100</v>
      </c>
      <c r="I43">
        <v>25</v>
      </c>
      <c r="J43">
        <v>0.5</v>
      </c>
      <c r="K43">
        <v>1</v>
      </c>
    </row>
    <row r="44" spans="1:12" x14ac:dyDescent="0.25">
      <c r="A44" t="s">
        <v>68</v>
      </c>
      <c r="B44" t="s">
        <v>81</v>
      </c>
      <c r="C44" t="s">
        <v>17</v>
      </c>
      <c r="D44" t="s">
        <v>76</v>
      </c>
      <c r="E44" t="s">
        <v>36</v>
      </c>
      <c r="F44" t="s">
        <v>38</v>
      </c>
      <c r="G44">
        <v>10000</v>
      </c>
      <c r="H44">
        <v>100</v>
      </c>
      <c r="I44">
        <v>25</v>
      </c>
      <c r="J44">
        <v>0.5</v>
      </c>
      <c r="K44">
        <v>1</v>
      </c>
    </row>
    <row r="45" spans="1:12" x14ac:dyDescent="0.25">
      <c r="A45" t="s">
        <v>68</v>
      </c>
      <c r="B45" t="s">
        <v>81</v>
      </c>
      <c r="C45" t="s">
        <v>21</v>
      </c>
      <c r="D45" t="s">
        <v>71</v>
      </c>
      <c r="E45" t="s">
        <v>36</v>
      </c>
      <c r="F45" t="s">
        <v>38</v>
      </c>
      <c r="G45">
        <v>10000</v>
      </c>
      <c r="H45">
        <v>100</v>
      </c>
      <c r="I45">
        <v>25</v>
      </c>
      <c r="J45">
        <v>0.5</v>
      </c>
      <c r="K45">
        <v>1</v>
      </c>
    </row>
    <row r="46" spans="1:12" x14ac:dyDescent="0.25">
      <c r="A46" t="s">
        <v>68</v>
      </c>
      <c r="B46" t="s">
        <v>81</v>
      </c>
      <c r="C46" t="s">
        <v>72</v>
      </c>
      <c r="D46" t="s">
        <v>75</v>
      </c>
      <c r="E46" t="s">
        <v>36</v>
      </c>
      <c r="F46" t="s">
        <v>38</v>
      </c>
      <c r="G46">
        <v>10000</v>
      </c>
      <c r="H46">
        <v>100</v>
      </c>
      <c r="I46">
        <v>25</v>
      </c>
      <c r="J46">
        <v>0.5</v>
      </c>
      <c r="K46">
        <v>1</v>
      </c>
    </row>
    <row r="47" spans="1:12" x14ac:dyDescent="0.25">
      <c r="A47" t="s">
        <v>68</v>
      </c>
      <c r="B47" t="s">
        <v>81</v>
      </c>
      <c r="C47" t="s">
        <v>23</v>
      </c>
      <c r="D47" t="s">
        <v>75</v>
      </c>
      <c r="E47" t="s">
        <v>36</v>
      </c>
      <c r="F47" t="s">
        <v>38</v>
      </c>
      <c r="G47">
        <v>10000</v>
      </c>
      <c r="H47">
        <v>100</v>
      </c>
      <c r="I47">
        <v>25</v>
      </c>
      <c r="J47">
        <v>0.5</v>
      </c>
      <c r="K47">
        <v>1</v>
      </c>
    </row>
    <row r="48" spans="1:12" x14ac:dyDescent="0.25">
      <c r="A48" t="s">
        <v>68</v>
      </c>
      <c r="B48" t="s">
        <v>81</v>
      </c>
      <c r="C48" t="s">
        <v>18</v>
      </c>
      <c r="D48" t="s">
        <v>74</v>
      </c>
      <c r="E48" t="s">
        <v>36</v>
      </c>
      <c r="F48" t="s">
        <v>38</v>
      </c>
      <c r="G48">
        <v>10000</v>
      </c>
      <c r="H48">
        <v>100</v>
      </c>
      <c r="I48">
        <v>25</v>
      </c>
      <c r="J48">
        <v>0.5</v>
      </c>
      <c r="K48">
        <v>1</v>
      </c>
    </row>
    <row r="49" spans="1:12" x14ac:dyDescent="0.25">
      <c r="A49" t="s">
        <v>68</v>
      </c>
      <c r="B49" t="s">
        <v>81</v>
      </c>
      <c r="C49" t="s">
        <v>24</v>
      </c>
      <c r="D49" t="s">
        <v>73</v>
      </c>
      <c r="E49" t="s">
        <v>36</v>
      </c>
      <c r="F49" t="s">
        <v>38</v>
      </c>
      <c r="G49">
        <v>10000</v>
      </c>
      <c r="H49">
        <v>100</v>
      </c>
      <c r="I49">
        <v>25</v>
      </c>
      <c r="J49">
        <v>0.5</v>
      </c>
      <c r="K49">
        <v>1</v>
      </c>
    </row>
    <row r="50" spans="1:12" x14ac:dyDescent="0.25">
      <c r="A50" t="s">
        <v>68</v>
      </c>
      <c r="B50" t="s">
        <v>81</v>
      </c>
      <c r="C50" t="s">
        <v>19</v>
      </c>
      <c r="D50" t="s">
        <v>71</v>
      </c>
      <c r="E50" t="s">
        <v>36</v>
      </c>
      <c r="F50" t="s">
        <v>38</v>
      </c>
      <c r="G50">
        <v>10000</v>
      </c>
      <c r="H50">
        <v>100</v>
      </c>
      <c r="I50">
        <v>25</v>
      </c>
      <c r="J50">
        <v>0.5</v>
      </c>
      <c r="K50">
        <v>1</v>
      </c>
    </row>
    <row r="51" spans="1:12" x14ac:dyDescent="0.25">
      <c r="A51" t="s">
        <v>68</v>
      </c>
      <c r="B51" t="s">
        <v>81</v>
      </c>
      <c r="C51" t="s">
        <v>20</v>
      </c>
      <c r="D51" t="s">
        <v>71</v>
      </c>
      <c r="E51" t="s">
        <v>36</v>
      </c>
      <c r="F51" t="s">
        <v>38</v>
      </c>
      <c r="G51">
        <v>10000</v>
      </c>
      <c r="H51">
        <v>100</v>
      </c>
      <c r="I51">
        <v>25</v>
      </c>
      <c r="J51">
        <v>0.5</v>
      </c>
      <c r="K51">
        <v>1</v>
      </c>
    </row>
    <row r="52" spans="1:12" x14ac:dyDescent="0.25">
      <c r="A52" t="s">
        <v>68</v>
      </c>
      <c r="B52" t="s">
        <v>81</v>
      </c>
      <c r="C52" t="s">
        <v>16</v>
      </c>
      <c r="D52" t="s">
        <v>71</v>
      </c>
      <c r="E52" t="s">
        <v>107</v>
      </c>
      <c r="F52" t="s">
        <v>52</v>
      </c>
      <c r="G52">
        <v>80</v>
      </c>
      <c r="H52">
        <v>62</v>
      </c>
      <c r="I52">
        <v>35</v>
      </c>
      <c r="J52">
        <v>0.6</v>
      </c>
      <c r="K52">
        <v>2</v>
      </c>
      <c r="L52" t="s">
        <v>232</v>
      </c>
    </row>
    <row r="53" spans="1:12" x14ac:dyDescent="0.25">
      <c r="A53" t="s">
        <v>68</v>
      </c>
      <c r="B53" t="s">
        <v>81</v>
      </c>
      <c r="C53" t="s">
        <v>22</v>
      </c>
      <c r="D53" t="s">
        <v>71</v>
      </c>
      <c r="E53" t="s">
        <v>107</v>
      </c>
      <c r="F53" t="s">
        <v>52</v>
      </c>
      <c r="G53">
        <v>1000</v>
      </c>
      <c r="H53">
        <v>24</v>
      </c>
      <c r="I53">
        <v>40</v>
      </c>
      <c r="J53">
        <v>0.7</v>
      </c>
      <c r="K53">
        <v>2</v>
      </c>
      <c r="L53" t="s">
        <v>233</v>
      </c>
    </row>
    <row r="54" spans="1:12" x14ac:dyDescent="0.25">
      <c r="A54" t="s">
        <v>68</v>
      </c>
      <c r="B54" t="s">
        <v>81</v>
      </c>
      <c r="C54" t="s">
        <v>17</v>
      </c>
      <c r="D54" t="s">
        <v>76</v>
      </c>
      <c r="E54" t="s">
        <v>107</v>
      </c>
      <c r="F54" t="s">
        <v>52</v>
      </c>
      <c r="G54">
        <v>125</v>
      </c>
      <c r="H54">
        <v>40</v>
      </c>
      <c r="I54">
        <v>30</v>
      </c>
      <c r="J54">
        <v>0.65</v>
      </c>
      <c r="K54">
        <v>3</v>
      </c>
      <c r="L54" t="s">
        <v>234</v>
      </c>
    </row>
    <row r="55" spans="1:12" x14ac:dyDescent="0.25">
      <c r="A55" t="s">
        <v>68</v>
      </c>
      <c r="B55" t="s">
        <v>81</v>
      </c>
      <c r="C55" t="s">
        <v>21</v>
      </c>
      <c r="D55" t="s">
        <v>71</v>
      </c>
      <c r="E55" t="s">
        <v>107</v>
      </c>
      <c r="F55" t="s">
        <v>52</v>
      </c>
      <c r="G55">
        <v>500</v>
      </c>
      <c r="H55">
        <v>100</v>
      </c>
      <c r="I55">
        <v>30</v>
      </c>
      <c r="J55">
        <v>0.7</v>
      </c>
      <c r="K55">
        <v>2</v>
      </c>
      <c r="L55" t="s">
        <v>235</v>
      </c>
    </row>
    <row r="56" spans="1:12" x14ac:dyDescent="0.25">
      <c r="A56" t="s">
        <v>68</v>
      </c>
      <c r="B56" t="s">
        <v>81</v>
      </c>
      <c r="C56" s="8" t="s">
        <v>72</v>
      </c>
      <c r="D56" t="s">
        <v>75</v>
      </c>
      <c r="E56" t="s">
        <v>107</v>
      </c>
      <c r="F56" t="s">
        <v>52</v>
      </c>
      <c r="G56">
        <v>150</v>
      </c>
      <c r="H56">
        <v>32</v>
      </c>
      <c r="I56">
        <v>25</v>
      </c>
      <c r="J56">
        <v>0.7</v>
      </c>
      <c r="K56">
        <v>2</v>
      </c>
      <c r="L56" t="s">
        <v>236</v>
      </c>
    </row>
    <row r="57" spans="1:12" x14ac:dyDescent="0.25">
      <c r="A57" t="s">
        <v>68</v>
      </c>
      <c r="B57" t="s">
        <v>81</v>
      </c>
      <c r="C57" s="8" t="s">
        <v>23</v>
      </c>
      <c r="D57" t="s">
        <v>75</v>
      </c>
      <c r="E57" t="s">
        <v>107</v>
      </c>
      <c r="F57" t="s">
        <v>52</v>
      </c>
      <c r="G57">
        <v>200</v>
      </c>
      <c r="H57">
        <v>24</v>
      </c>
      <c r="I57">
        <v>40</v>
      </c>
      <c r="J57">
        <v>0.3</v>
      </c>
      <c r="K57">
        <v>2</v>
      </c>
      <c r="L57" t="s">
        <v>237</v>
      </c>
    </row>
    <row r="58" spans="1:12" x14ac:dyDescent="0.25">
      <c r="A58" t="s">
        <v>68</v>
      </c>
      <c r="B58" t="s">
        <v>81</v>
      </c>
      <c r="C58" s="8" t="s">
        <v>18</v>
      </c>
      <c r="D58" t="s">
        <v>74</v>
      </c>
      <c r="E58" t="s">
        <v>107</v>
      </c>
      <c r="F58" t="s">
        <v>52</v>
      </c>
      <c r="G58">
        <v>70</v>
      </c>
      <c r="H58">
        <v>70</v>
      </c>
      <c r="I58">
        <v>30</v>
      </c>
      <c r="J58">
        <v>0.7</v>
      </c>
      <c r="K58">
        <v>2</v>
      </c>
      <c r="L58" t="s">
        <v>238</v>
      </c>
    </row>
    <row r="59" spans="1:12" x14ac:dyDescent="0.25">
      <c r="A59" t="s">
        <v>68</v>
      </c>
      <c r="B59" t="s">
        <v>81</v>
      </c>
      <c r="C59" s="8" t="s">
        <v>24</v>
      </c>
      <c r="D59" t="s">
        <v>73</v>
      </c>
      <c r="E59" t="s">
        <v>107</v>
      </c>
      <c r="F59" t="s">
        <v>52</v>
      </c>
      <c r="G59">
        <v>250</v>
      </c>
      <c r="H59">
        <v>100</v>
      </c>
      <c r="I59">
        <v>30</v>
      </c>
      <c r="J59">
        <v>0.7</v>
      </c>
      <c r="K59">
        <v>2</v>
      </c>
      <c r="L59" t="s">
        <v>239</v>
      </c>
    </row>
    <row r="60" spans="1:12" x14ac:dyDescent="0.25">
      <c r="A60" t="s">
        <v>68</v>
      </c>
      <c r="B60" t="s">
        <v>81</v>
      </c>
      <c r="C60" s="8" t="s">
        <v>19</v>
      </c>
      <c r="D60" t="s">
        <v>71</v>
      </c>
      <c r="E60" t="s">
        <v>107</v>
      </c>
      <c r="F60" t="s">
        <v>52</v>
      </c>
      <c r="G60">
        <v>150</v>
      </c>
      <c r="H60">
        <v>32</v>
      </c>
      <c r="I60">
        <v>20</v>
      </c>
      <c r="J60">
        <v>0.6</v>
      </c>
      <c r="K60">
        <v>2</v>
      </c>
      <c r="L60" t="s">
        <v>240</v>
      </c>
    </row>
    <row r="61" spans="1:12" x14ac:dyDescent="0.25">
      <c r="A61" t="s">
        <v>68</v>
      </c>
      <c r="B61" t="s">
        <v>81</v>
      </c>
      <c r="C61" s="8" t="s">
        <v>20</v>
      </c>
      <c r="D61" t="s">
        <v>71</v>
      </c>
      <c r="E61" t="s">
        <v>107</v>
      </c>
      <c r="F61" t="s">
        <v>52</v>
      </c>
      <c r="G61">
        <v>70</v>
      </c>
      <c r="H61">
        <v>70</v>
      </c>
      <c r="I61">
        <v>35</v>
      </c>
      <c r="J61">
        <v>0.7</v>
      </c>
      <c r="K61">
        <v>2</v>
      </c>
      <c r="L61" t="s">
        <v>241</v>
      </c>
    </row>
    <row r="62" spans="1:12" x14ac:dyDescent="0.25">
      <c r="A62" t="s">
        <v>68</v>
      </c>
      <c r="B62" t="s">
        <v>81</v>
      </c>
      <c r="C62" s="8" t="s">
        <v>16</v>
      </c>
      <c r="D62" t="s">
        <v>71</v>
      </c>
      <c r="E62" t="s">
        <v>109</v>
      </c>
      <c r="F62" t="s">
        <v>52</v>
      </c>
      <c r="G62">
        <v>125</v>
      </c>
      <c r="H62">
        <v>40</v>
      </c>
      <c r="I62">
        <v>25</v>
      </c>
      <c r="J62">
        <v>0.4</v>
      </c>
      <c r="K62">
        <v>3</v>
      </c>
      <c r="L62" t="s">
        <v>242</v>
      </c>
    </row>
    <row r="63" spans="1:12" x14ac:dyDescent="0.25">
      <c r="A63" t="s">
        <v>68</v>
      </c>
      <c r="B63" t="s">
        <v>81</v>
      </c>
      <c r="C63" s="8" t="s">
        <v>22</v>
      </c>
      <c r="D63" t="s">
        <v>71</v>
      </c>
      <c r="E63" t="s">
        <v>109</v>
      </c>
      <c r="F63" t="s">
        <v>52</v>
      </c>
      <c r="G63">
        <v>125</v>
      </c>
      <c r="H63">
        <v>40</v>
      </c>
      <c r="I63">
        <v>25</v>
      </c>
      <c r="J63">
        <v>0.6</v>
      </c>
      <c r="K63">
        <v>2</v>
      </c>
      <c r="L63" t="s">
        <v>243</v>
      </c>
    </row>
    <row r="64" spans="1:12" x14ac:dyDescent="0.25">
      <c r="A64" t="s">
        <v>68</v>
      </c>
      <c r="B64" t="s">
        <v>81</v>
      </c>
      <c r="C64" s="8" t="s">
        <v>17</v>
      </c>
      <c r="D64" t="s">
        <v>76</v>
      </c>
      <c r="E64" t="s">
        <v>109</v>
      </c>
      <c r="F64" t="s">
        <v>52</v>
      </c>
      <c r="G64">
        <v>200</v>
      </c>
      <c r="H64">
        <v>24</v>
      </c>
      <c r="I64">
        <v>15</v>
      </c>
      <c r="J64">
        <v>0.9</v>
      </c>
      <c r="K64">
        <v>3</v>
      </c>
      <c r="L64" t="s">
        <v>244</v>
      </c>
    </row>
    <row r="65" spans="1:12" x14ac:dyDescent="0.25">
      <c r="A65" t="s">
        <v>68</v>
      </c>
      <c r="B65" t="s">
        <v>81</v>
      </c>
      <c r="C65" t="s">
        <v>21</v>
      </c>
      <c r="D65" t="s">
        <v>71</v>
      </c>
      <c r="E65" t="s">
        <v>109</v>
      </c>
      <c r="F65" t="s">
        <v>52</v>
      </c>
      <c r="G65">
        <v>200</v>
      </c>
      <c r="H65">
        <v>24</v>
      </c>
      <c r="I65">
        <v>35</v>
      </c>
      <c r="J65">
        <v>0.6</v>
      </c>
      <c r="K65">
        <v>3</v>
      </c>
      <c r="L65" t="s">
        <v>245</v>
      </c>
    </row>
    <row r="66" spans="1:12" x14ac:dyDescent="0.25">
      <c r="A66" t="s">
        <v>68</v>
      </c>
      <c r="B66" t="s">
        <v>81</v>
      </c>
      <c r="C66" t="s">
        <v>72</v>
      </c>
      <c r="D66" t="s">
        <v>75</v>
      </c>
      <c r="E66" t="s">
        <v>109</v>
      </c>
      <c r="F66" t="s">
        <v>52</v>
      </c>
      <c r="G66">
        <v>150</v>
      </c>
      <c r="H66">
        <v>32</v>
      </c>
      <c r="I66">
        <v>7</v>
      </c>
      <c r="J66">
        <v>0.85</v>
      </c>
      <c r="K66">
        <v>2</v>
      </c>
      <c r="L66" t="s">
        <v>246</v>
      </c>
    </row>
    <row r="67" spans="1:12" x14ac:dyDescent="0.25">
      <c r="A67" t="s">
        <v>68</v>
      </c>
      <c r="B67" t="s">
        <v>81</v>
      </c>
      <c r="C67" t="s">
        <v>23</v>
      </c>
      <c r="D67" t="s">
        <v>75</v>
      </c>
      <c r="E67" t="s">
        <v>109</v>
      </c>
      <c r="F67" t="s">
        <v>52</v>
      </c>
      <c r="G67">
        <v>800</v>
      </c>
      <c r="H67">
        <v>62</v>
      </c>
      <c r="I67">
        <v>40</v>
      </c>
      <c r="J67">
        <v>0.85</v>
      </c>
      <c r="K67">
        <v>3</v>
      </c>
      <c r="L67" t="s">
        <v>247</v>
      </c>
    </row>
    <row r="68" spans="1:12" x14ac:dyDescent="0.25">
      <c r="A68" t="s">
        <v>68</v>
      </c>
      <c r="B68" t="s">
        <v>81</v>
      </c>
      <c r="C68" t="s">
        <v>18</v>
      </c>
      <c r="D68" t="s">
        <v>74</v>
      </c>
      <c r="E68" t="s">
        <v>109</v>
      </c>
      <c r="F68" t="s">
        <v>52</v>
      </c>
      <c r="G68">
        <v>500</v>
      </c>
      <c r="H68">
        <v>100</v>
      </c>
      <c r="I68">
        <v>35</v>
      </c>
      <c r="J68">
        <v>0.85</v>
      </c>
      <c r="K68">
        <v>3</v>
      </c>
      <c r="L68" t="s">
        <v>248</v>
      </c>
    </row>
    <row r="69" spans="1:12" x14ac:dyDescent="0.25">
      <c r="A69" t="s">
        <v>68</v>
      </c>
      <c r="B69" t="s">
        <v>81</v>
      </c>
      <c r="C69" t="s">
        <v>24</v>
      </c>
      <c r="D69" t="s">
        <v>73</v>
      </c>
      <c r="E69" t="s">
        <v>109</v>
      </c>
      <c r="F69" t="s">
        <v>52</v>
      </c>
      <c r="G69">
        <v>150</v>
      </c>
      <c r="H69">
        <v>32</v>
      </c>
      <c r="I69">
        <v>15</v>
      </c>
      <c r="J69">
        <v>0.9</v>
      </c>
      <c r="K69">
        <v>2</v>
      </c>
      <c r="L69" t="s">
        <v>249</v>
      </c>
    </row>
    <row r="70" spans="1:12" x14ac:dyDescent="0.25">
      <c r="A70" t="s">
        <v>68</v>
      </c>
      <c r="B70" t="s">
        <v>81</v>
      </c>
      <c r="C70" t="s">
        <v>19</v>
      </c>
      <c r="D70" t="s">
        <v>71</v>
      </c>
      <c r="E70" t="s">
        <v>109</v>
      </c>
      <c r="F70" t="s">
        <v>52</v>
      </c>
      <c r="G70">
        <v>500</v>
      </c>
      <c r="H70">
        <v>100</v>
      </c>
      <c r="I70">
        <v>40</v>
      </c>
      <c r="J70">
        <v>0.95</v>
      </c>
      <c r="K70">
        <v>2</v>
      </c>
      <c r="L70" t="s">
        <v>250</v>
      </c>
    </row>
    <row r="71" spans="1:12" x14ac:dyDescent="0.25">
      <c r="A71" t="s">
        <v>68</v>
      </c>
      <c r="B71" t="s">
        <v>81</v>
      </c>
      <c r="C71" t="s">
        <v>20</v>
      </c>
      <c r="D71" t="s">
        <v>71</v>
      </c>
      <c r="E71" t="s">
        <v>109</v>
      </c>
      <c r="F71" t="s">
        <v>52</v>
      </c>
      <c r="G71">
        <v>120</v>
      </c>
      <c r="H71">
        <v>42</v>
      </c>
      <c r="I71">
        <v>35</v>
      </c>
      <c r="J71">
        <v>0.85</v>
      </c>
      <c r="K71">
        <v>2</v>
      </c>
      <c r="L71" t="s">
        <v>251</v>
      </c>
    </row>
    <row r="72" spans="1:12" x14ac:dyDescent="0.25">
      <c r="A72" t="s">
        <v>68</v>
      </c>
      <c r="B72" t="s">
        <v>81</v>
      </c>
      <c r="C72" t="s">
        <v>16</v>
      </c>
      <c r="D72" t="s">
        <v>71</v>
      </c>
      <c r="E72" t="s">
        <v>8</v>
      </c>
      <c r="F72" t="s">
        <v>52</v>
      </c>
      <c r="G72">
        <v>200</v>
      </c>
      <c r="H72">
        <v>24</v>
      </c>
      <c r="I72">
        <v>5</v>
      </c>
      <c r="J72">
        <v>0.8</v>
      </c>
      <c r="K72">
        <v>3</v>
      </c>
      <c r="L72" t="s">
        <v>252</v>
      </c>
    </row>
    <row r="73" spans="1:12" x14ac:dyDescent="0.25">
      <c r="A73" t="s">
        <v>68</v>
      </c>
      <c r="B73" t="s">
        <v>81</v>
      </c>
      <c r="C73" t="s">
        <v>22</v>
      </c>
      <c r="D73" t="s">
        <v>71</v>
      </c>
      <c r="E73" t="s">
        <v>8</v>
      </c>
      <c r="F73" t="s">
        <v>52</v>
      </c>
      <c r="G73">
        <v>60</v>
      </c>
      <c r="H73">
        <v>100</v>
      </c>
      <c r="I73">
        <v>10</v>
      </c>
      <c r="J73">
        <v>0.8</v>
      </c>
      <c r="K73">
        <v>3</v>
      </c>
      <c r="L73" t="s">
        <v>253</v>
      </c>
    </row>
    <row r="74" spans="1:12" x14ac:dyDescent="0.25">
      <c r="A74" t="s">
        <v>68</v>
      </c>
      <c r="B74" t="s">
        <v>81</v>
      </c>
      <c r="C74" t="s">
        <v>17</v>
      </c>
      <c r="D74" t="s">
        <v>76</v>
      </c>
      <c r="E74" t="s">
        <v>8</v>
      </c>
      <c r="F74" t="s">
        <v>52</v>
      </c>
      <c r="G74">
        <v>200</v>
      </c>
      <c r="H74">
        <v>24</v>
      </c>
      <c r="I74">
        <v>10</v>
      </c>
      <c r="J74">
        <v>0.9</v>
      </c>
      <c r="K74">
        <v>3</v>
      </c>
      <c r="L74" t="s">
        <v>254</v>
      </c>
    </row>
    <row r="75" spans="1:12" x14ac:dyDescent="0.25">
      <c r="A75" t="s">
        <v>68</v>
      </c>
      <c r="B75" t="s">
        <v>81</v>
      </c>
      <c r="C75" t="s">
        <v>21</v>
      </c>
      <c r="D75" t="s">
        <v>71</v>
      </c>
      <c r="E75" t="s">
        <v>8</v>
      </c>
      <c r="F75" t="s">
        <v>52</v>
      </c>
      <c r="G75">
        <v>200</v>
      </c>
      <c r="H75">
        <v>24</v>
      </c>
      <c r="I75">
        <v>5</v>
      </c>
      <c r="J75">
        <v>0.8</v>
      </c>
      <c r="K75">
        <v>3</v>
      </c>
      <c r="L75" t="s">
        <v>255</v>
      </c>
    </row>
    <row r="76" spans="1:12" x14ac:dyDescent="0.25">
      <c r="A76" t="s">
        <v>68</v>
      </c>
      <c r="B76" t="s">
        <v>81</v>
      </c>
      <c r="C76" t="s">
        <v>72</v>
      </c>
      <c r="D76" t="s">
        <v>75</v>
      </c>
      <c r="E76" t="s">
        <v>8</v>
      </c>
      <c r="F76" t="s">
        <v>52</v>
      </c>
      <c r="G76">
        <v>83.33</v>
      </c>
      <c r="H76">
        <v>60</v>
      </c>
      <c r="I76">
        <v>25</v>
      </c>
      <c r="J76">
        <v>0.7</v>
      </c>
      <c r="K76">
        <v>3</v>
      </c>
      <c r="L76" t="s">
        <v>256</v>
      </c>
    </row>
    <row r="77" spans="1:12" x14ac:dyDescent="0.25">
      <c r="A77" t="s">
        <v>68</v>
      </c>
      <c r="B77" t="s">
        <v>81</v>
      </c>
      <c r="C77" t="s">
        <v>23</v>
      </c>
      <c r="D77" t="s">
        <v>75</v>
      </c>
      <c r="E77" t="s">
        <v>8</v>
      </c>
      <c r="F77" t="s">
        <v>52</v>
      </c>
      <c r="G77">
        <v>200</v>
      </c>
      <c r="H77">
        <v>24</v>
      </c>
      <c r="I77">
        <v>15</v>
      </c>
      <c r="J77">
        <v>0.8</v>
      </c>
      <c r="K77">
        <v>3</v>
      </c>
      <c r="L77" t="s">
        <v>257</v>
      </c>
    </row>
    <row r="78" spans="1:12" x14ac:dyDescent="0.25">
      <c r="A78" t="s">
        <v>68</v>
      </c>
      <c r="B78" t="s">
        <v>81</v>
      </c>
      <c r="C78" t="s">
        <v>18</v>
      </c>
      <c r="D78" t="s">
        <v>74</v>
      </c>
      <c r="E78" t="s">
        <v>8</v>
      </c>
      <c r="F78" t="s">
        <v>52</v>
      </c>
      <c r="G78">
        <v>150</v>
      </c>
      <c r="H78">
        <v>32</v>
      </c>
      <c r="I78">
        <v>15</v>
      </c>
      <c r="J78">
        <v>0.9</v>
      </c>
      <c r="K78">
        <v>3</v>
      </c>
      <c r="L78" t="s">
        <v>258</v>
      </c>
    </row>
    <row r="79" spans="1:12" x14ac:dyDescent="0.25">
      <c r="A79" t="s">
        <v>68</v>
      </c>
      <c r="B79" t="s">
        <v>81</v>
      </c>
      <c r="C79" t="s">
        <v>24</v>
      </c>
      <c r="D79" t="s">
        <v>73</v>
      </c>
      <c r="E79" t="s">
        <v>8</v>
      </c>
      <c r="F79" t="s">
        <v>52</v>
      </c>
      <c r="G79">
        <v>66</v>
      </c>
      <c r="H79">
        <v>75</v>
      </c>
      <c r="I79">
        <v>30</v>
      </c>
      <c r="J79">
        <v>0.8</v>
      </c>
      <c r="K79">
        <v>3</v>
      </c>
      <c r="L79" t="s">
        <v>259</v>
      </c>
    </row>
    <row r="80" spans="1:12" x14ac:dyDescent="0.25">
      <c r="A80" t="s">
        <v>68</v>
      </c>
      <c r="B80" t="s">
        <v>81</v>
      </c>
      <c r="C80" t="s">
        <v>19</v>
      </c>
      <c r="D80" t="s">
        <v>71</v>
      </c>
      <c r="E80" t="s">
        <v>8</v>
      </c>
      <c r="F80" t="s">
        <v>52</v>
      </c>
      <c r="G80">
        <v>66</v>
      </c>
      <c r="H80">
        <v>75</v>
      </c>
      <c r="I80">
        <v>30</v>
      </c>
      <c r="J80">
        <v>0.7</v>
      </c>
      <c r="K80">
        <v>3</v>
      </c>
      <c r="L80" t="s">
        <v>260</v>
      </c>
    </row>
    <row r="81" spans="1:12" x14ac:dyDescent="0.25">
      <c r="A81" t="s">
        <v>68</v>
      </c>
      <c r="B81" t="s">
        <v>81</v>
      </c>
      <c r="C81" t="s">
        <v>20</v>
      </c>
      <c r="D81" t="s">
        <v>71</v>
      </c>
      <c r="E81" t="s">
        <v>8</v>
      </c>
      <c r="F81" t="s">
        <v>52</v>
      </c>
      <c r="G81">
        <v>166</v>
      </c>
      <c r="H81">
        <v>30</v>
      </c>
      <c r="I81">
        <v>15</v>
      </c>
      <c r="J81">
        <v>0.9</v>
      </c>
      <c r="K81">
        <v>3</v>
      </c>
      <c r="L81" t="s">
        <v>261</v>
      </c>
    </row>
    <row r="82" spans="1:12" x14ac:dyDescent="0.25">
      <c r="A82" t="s">
        <v>68</v>
      </c>
      <c r="B82" t="s">
        <v>81</v>
      </c>
      <c r="C82" t="s">
        <v>16</v>
      </c>
      <c r="D82" t="s">
        <v>71</v>
      </c>
      <c r="E82" t="s">
        <v>110</v>
      </c>
      <c r="F82" t="s">
        <v>52</v>
      </c>
      <c r="G82">
        <v>2000</v>
      </c>
      <c r="H82">
        <v>24</v>
      </c>
      <c r="I82">
        <v>15</v>
      </c>
      <c r="J82">
        <v>0.7</v>
      </c>
      <c r="K82">
        <v>3</v>
      </c>
      <c r="L82" t="s">
        <v>262</v>
      </c>
    </row>
    <row r="83" spans="1:12" x14ac:dyDescent="0.25">
      <c r="A83" t="s">
        <v>68</v>
      </c>
      <c r="B83" t="s">
        <v>81</v>
      </c>
      <c r="C83" t="s">
        <v>22</v>
      </c>
      <c r="D83" t="s">
        <v>71</v>
      </c>
      <c r="E83" t="s">
        <v>110</v>
      </c>
      <c r="F83" t="s">
        <v>52</v>
      </c>
      <c r="G83">
        <v>500</v>
      </c>
      <c r="H83">
        <v>200</v>
      </c>
      <c r="I83">
        <v>5</v>
      </c>
      <c r="J83">
        <v>0.7</v>
      </c>
      <c r="K83">
        <v>1</v>
      </c>
      <c r="L83" t="s">
        <v>263</v>
      </c>
    </row>
    <row r="84" spans="1:12" x14ac:dyDescent="0.25">
      <c r="A84" t="s">
        <v>68</v>
      </c>
      <c r="B84" t="s">
        <v>81</v>
      </c>
      <c r="C84" t="s">
        <v>17</v>
      </c>
      <c r="D84" t="s">
        <v>76</v>
      </c>
      <c r="E84" t="s">
        <v>110</v>
      </c>
      <c r="F84" t="s">
        <v>52</v>
      </c>
      <c r="G84">
        <v>50</v>
      </c>
      <c r="H84">
        <v>60</v>
      </c>
      <c r="I84">
        <v>15</v>
      </c>
      <c r="J84">
        <v>0.5</v>
      </c>
      <c r="K84">
        <v>2</v>
      </c>
      <c r="L84" t="s">
        <v>264</v>
      </c>
    </row>
    <row r="85" spans="1:12" x14ac:dyDescent="0.25">
      <c r="A85" t="s">
        <v>68</v>
      </c>
      <c r="B85" t="s">
        <v>81</v>
      </c>
      <c r="C85" t="s">
        <v>21</v>
      </c>
      <c r="D85" t="s">
        <v>71</v>
      </c>
      <c r="E85" t="s">
        <v>110</v>
      </c>
      <c r="F85" t="s">
        <v>52</v>
      </c>
      <c r="G85">
        <v>500</v>
      </c>
      <c r="H85">
        <v>200</v>
      </c>
      <c r="I85">
        <v>40</v>
      </c>
      <c r="J85">
        <v>0.6</v>
      </c>
      <c r="K85">
        <v>1</v>
      </c>
      <c r="L85" t="s">
        <v>265</v>
      </c>
    </row>
    <row r="86" spans="1:12" x14ac:dyDescent="0.25">
      <c r="A86" t="s">
        <v>68</v>
      </c>
      <c r="B86" t="s">
        <v>81</v>
      </c>
      <c r="C86" t="s">
        <v>72</v>
      </c>
      <c r="D86" t="s">
        <v>75</v>
      </c>
      <c r="E86" t="s">
        <v>110</v>
      </c>
      <c r="F86" t="s">
        <v>52</v>
      </c>
      <c r="G86">
        <v>1250</v>
      </c>
      <c r="H86">
        <v>24</v>
      </c>
      <c r="I86">
        <v>12</v>
      </c>
      <c r="J86">
        <v>0.6</v>
      </c>
      <c r="K86">
        <v>2</v>
      </c>
      <c r="L86" t="s">
        <v>266</v>
      </c>
    </row>
    <row r="87" spans="1:12" x14ac:dyDescent="0.25">
      <c r="A87" t="s">
        <v>68</v>
      </c>
      <c r="B87" t="s">
        <v>81</v>
      </c>
      <c r="C87" t="s">
        <v>23</v>
      </c>
      <c r="D87" t="s">
        <v>75</v>
      </c>
      <c r="E87" t="s">
        <v>110</v>
      </c>
      <c r="F87" t="s">
        <v>52</v>
      </c>
      <c r="G87">
        <v>500</v>
      </c>
      <c r="H87">
        <v>100</v>
      </c>
      <c r="I87">
        <v>15</v>
      </c>
      <c r="J87">
        <v>0.6</v>
      </c>
      <c r="K87">
        <v>2</v>
      </c>
      <c r="L87" t="s">
        <v>267</v>
      </c>
    </row>
    <row r="88" spans="1:12" x14ac:dyDescent="0.25">
      <c r="A88" t="s">
        <v>68</v>
      </c>
      <c r="B88" t="s">
        <v>81</v>
      </c>
      <c r="C88" t="s">
        <v>18</v>
      </c>
      <c r="D88" t="s">
        <v>74</v>
      </c>
      <c r="E88" t="s">
        <v>110</v>
      </c>
      <c r="F88" t="s">
        <v>52</v>
      </c>
      <c r="G88">
        <v>150</v>
      </c>
      <c r="H88">
        <v>32</v>
      </c>
      <c r="I88">
        <v>15</v>
      </c>
      <c r="J88">
        <v>0.6</v>
      </c>
      <c r="K88">
        <v>2</v>
      </c>
      <c r="L88" t="s">
        <v>268</v>
      </c>
    </row>
    <row r="89" spans="1:12" x14ac:dyDescent="0.25">
      <c r="A89" t="s">
        <v>68</v>
      </c>
      <c r="B89" t="s">
        <v>81</v>
      </c>
      <c r="C89" t="s">
        <v>24</v>
      </c>
      <c r="D89" t="s">
        <v>73</v>
      </c>
      <c r="E89" t="s">
        <v>110</v>
      </c>
      <c r="F89" t="s">
        <v>52</v>
      </c>
      <c r="G89">
        <v>500</v>
      </c>
      <c r="H89">
        <v>100</v>
      </c>
      <c r="I89">
        <v>15</v>
      </c>
      <c r="J89">
        <v>0.7</v>
      </c>
      <c r="K89">
        <v>3</v>
      </c>
      <c r="L89" t="s">
        <v>269</v>
      </c>
    </row>
    <row r="90" spans="1:12" x14ac:dyDescent="0.25">
      <c r="A90" t="s">
        <v>68</v>
      </c>
      <c r="B90" t="s">
        <v>81</v>
      </c>
      <c r="C90" t="s">
        <v>19</v>
      </c>
      <c r="D90" t="s">
        <v>71</v>
      </c>
      <c r="E90" t="s">
        <v>110</v>
      </c>
      <c r="F90" t="s">
        <v>52</v>
      </c>
      <c r="G90">
        <v>500</v>
      </c>
      <c r="H90">
        <v>100</v>
      </c>
      <c r="I90">
        <v>10</v>
      </c>
      <c r="J90">
        <v>0.75</v>
      </c>
      <c r="K90">
        <v>2</v>
      </c>
      <c r="L90" t="s">
        <v>270</v>
      </c>
    </row>
    <row r="91" spans="1:12" x14ac:dyDescent="0.25">
      <c r="A91" t="s">
        <v>68</v>
      </c>
      <c r="B91" t="s">
        <v>81</v>
      </c>
      <c r="C91" t="s">
        <v>20</v>
      </c>
      <c r="D91" t="s">
        <v>71</v>
      </c>
      <c r="E91" t="s">
        <v>110</v>
      </c>
      <c r="F91" t="s">
        <v>52</v>
      </c>
      <c r="G91">
        <v>125</v>
      </c>
      <c r="H91">
        <v>40</v>
      </c>
      <c r="I91">
        <v>14</v>
      </c>
      <c r="J91">
        <v>0.4</v>
      </c>
      <c r="K91">
        <v>2</v>
      </c>
      <c r="L91" t="s">
        <v>271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FAC56-39BE-1241-8956-01A485322F86}">
  <dimension ref="A1:L91"/>
  <sheetViews>
    <sheetView workbookViewId="0">
      <selection activeCell="J48" sqref="J48"/>
    </sheetView>
  </sheetViews>
  <sheetFormatPr defaultColWidth="11" defaultRowHeight="15.75" x14ac:dyDescent="0.25"/>
  <sheetData>
    <row r="1" spans="1:12" x14ac:dyDescent="0.25">
      <c r="A1" t="s">
        <v>0</v>
      </c>
      <c r="B1" t="s">
        <v>39</v>
      </c>
      <c r="C1" t="s">
        <v>1</v>
      </c>
      <c r="D1" t="s">
        <v>108</v>
      </c>
      <c r="E1" t="s">
        <v>3</v>
      </c>
      <c r="F1" t="s">
        <v>37</v>
      </c>
      <c r="G1" t="s">
        <v>40</v>
      </c>
      <c r="H1" t="s">
        <v>41</v>
      </c>
      <c r="I1" t="s">
        <v>56</v>
      </c>
      <c r="J1" t="s">
        <v>57</v>
      </c>
      <c r="K1" t="s">
        <v>58</v>
      </c>
      <c r="L1" t="s">
        <v>106</v>
      </c>
    </row>
    <row r="2" spans="1:12" x14ac:dyDescent="0.25">
      <c r="A2" t="s">
        <v>85</v>
      </c>
      <c r="B2" t="s">
        <v>70</v>
      </c>
      <c r="C2" t="s">
        <v>86</v>
      </c>
      <c r="D2" t="s">
        <v>91</v>
      </c>
      <c r="E2" t="s">
        <v>107</v>
      </c>
      <c r="F2" t="s">
        <v>38</v>
      </c>
      <c r="G2">
        <v>500</v>
      </c>
      <c r="H2">
        <v>50</v>
      </c>
      <c r="I2">
        <v>1.5</v>
      </c>
      <c r="J2">
        <v>1.5</v>
      </c>
      <c r="K2">
        <v>0.7</v>
      </c>
      <c r="L2" t="str" cm="1">
        <f t="array" ref="L2">CONCATENATE("I'm using mealpy library to solve Graph Coloring Problem. My problem instance has  ", _xlfn.CHOOSECOLS(_xlfn.TEXTSPLIT(D2," "),1)," nodes and ", _xlfn.CHOOSECOLS(_xlfn.TEXTSPLIT(D2,"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11 nodes and 20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 spans="1:12" x14ac:dyDescent="0.25">
      <c r="A3" t="s">
        <v>85</v>
      </c>
      <c r="B3" t="s">
        <v>70</v>
      </c>
      <c r="C3" t="s">
        <v>87</v>
      </c>
      <c r="D3" t="s">
        <v>92</v>
      </c>
      <c r="E3" t="s">
        <v>107</v>
      </c>
      <c r="F3" t="s">
        <v>38</v>
      </c>
      <c r="G3">
        <v>1000</v>
      </c>
      <c r="H3">
        <v>50</v>
      </c>
      <c r="I3">
        <v>2</v>
      </c>
      <c r="J3">
        <v>2</v>
      </c>
      <c r="K3">
        <v>0.7</v>
      </c>
      <c r="L3" t="str" cm="1">
        <f t="array" ref="L3">CONCATENATE("I'm using mealpy library to solve Graph Coloring Problem. My problem instance has  ", _xlfn.CHOOSECOLS(_xlfn.TEXTSPLIT(D3," "),1)," nodes and ", _xlfn.CHOOSECOLS(_xlfn.TEXTSPLIT(D3,"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23 nodes and 71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4" spans="1:12" x14ac:dyDescent="0.25">
      <c r="A4" t="s">
        <v>85</v>
      </c>
      <c r="B4" t="s">
        <v>70</v>
      </c>
      <c r="C4" t="s">
        <v>88</v>
      </c>
      <c r="D4" s="5" t="s">
        <v>93</v>
      </c>
      <c r="E4" t="s">
        <v>107</v>
      </c>
      <c r="F4" t="s">
        <v>38</v>
      </c>
      <c r="G4">
        <v>5000</v>
      </c>
      <c r="H4">
        <v>100</v>
      </c>
      <c r="I4">
        <v>1.5</v>
      </c>
      <c r="J4">
        <v>1.5</v>
      </c>
      <c r="K4">
        <v>0.7</v>
      </c>
      <c r="L4" t="str" cm="1">
        <f t="array" ref="L4">CONCATENATE("I'm using mealpy library to solve Graph Coloring Problem. My problem instance has  ", _xlfn.CHOOSECOLS(_xlfn.TEXTSPLIT(D4," "),1)," nodes and ", _xlfn.CHOOSECOLS(_xlfn.TEXTSPLIT(D4,"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47 nodes and 236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5" spans="1:12" x14ac:dyDescent="0.25">
      <c r="A5" t="s">
        <v>85</v>
      </c>
      <c r="B5" t="s">
        <v>70</v>
      </c>
      <c r="C5" t="s">
        <v>89</v>
      </c>
      <c r="D5" s="5" t="s">
        <v>94</v>
      </c>
      <c r="E5" t="s">
        <v>107</v>
      </c>
      <c r="F5" t="s">
        <v>38</v>
      </c>
      <c r="G5">
        <v>5000</v>
      </c>
      <c r="H5">
        <v>100</v>
      </c>
      <c r="I5">
        <v>1.5</v>
      </c>
      <c r="J5">
        <v>1.5</v>
      </c>
      <c r="K5">
        <v>0.7</v>
      </c>
      <c r="L5" t="str" cm="1">
        <f t="array" ref="L5">CONCATENATE("I'm using mealpy library to solve Graph Coloring Problem. My problem instance has  ", _xlfn.CHOOSECOLS(_xlfn.TEXTSPLIT(D5," "),1)," nodes and ", _xlfn.CHOOSECOLS(_xlfn.TEXTSPLIT(D5,"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95 nodes and 755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6" spans="1:12" x14ac:dyDescent="0.25">
      <c r="A6" t="s">
        <v>85</v>
      </c>
      <c r="B6" t="s">
        <v>70</v>
      </c>
      <c r="C6" t="s">
        <v>90</v>
      </c>
      <c r="D6" s="5" t="s">
        <v>95</v>
      </c>
      <c r="E6" t="s">
        <v>107</v>
      </c>
      <c r="F6" t="s">
        <v>38</v>
      </c>
      <c r="G6">
        <v>5000</v>
      </c>
      <c r="H6">
        <v>100</v>
      </c>
      <c r="I6">
        <v>1.5</v>
      </c>
      <c r="J6">
        <v>1.5</v>
      </c>
      <c r="K6">
        <v>0.8</v>
      </c>
      <c r="L6" t="str" cm="1">
        <f t="array" ref="L6">CONCATENATE("I'm using mealpy library to solve Graph Coloring Problem. My problem instance has  ", _xlfn.CHOOSECOLS(_xlfn.TEXTSPLIT(D6," "),1)," nodes and ", _xlfn.CHOOSECOLS(_xlfn.TEXTSPLIT(D6,"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191 nodes and 2360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7" spans="1:12" x14ac:dyDescent="0.25">
      <c r="A7" t="s">
        <v>85</v>
      </c>
      <c r="B7" t="s">
        <v>70</v>
      </c>
      <c r="C7" t="s">
        <v>96</v>
      </c>
      <c r="D7" s="5" t="s">
        <v>99</v>
      </c>
      <c r="E7" t="s">
        <v>107</v>
      </c>
      <c r="F7" t="s">
        <v>38</v>
      </c>
      <c r="G7">
        <v>500</v>
      </c>
      <c r="H7">
        <v>50</v>
      </c>
      <c r="I7">
        <v>1.5</v>
      </c>
      <c r="J7">
        <v>1.5</v>
      </c>
      <c r="K7">
        <v>0.7</v>
      </c>
      <c r="L7" t="str" cm="1">
        <f t="array" ref="L7">CONCATENATE("I'm using mealpy library to solve Graph Coloring Problem. My problem instance has  ", _xlfn.CHOOSECOLS(_xlfn.TEXTSPLIT(D7," "),1)," nodes and ", _xlfn.CHOOSECOLS(_xlfn.TEXTSPLIT(D7,"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25 nodes and 160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8" spans="1:12" x14ac:dyDescent="0.25">
      <c r="A8" t="s">
        <v>85</v>
      </c>
      <c r="B8" t="s">
        <v>70</v>
      </c>
      <c r="C8" t="s">
        <v>97</v>
      </c>
      <c r="D8" s="5" t="s">
        <v>100</v>
      </c>
      <c r="E8" t="s">
        <v>107</v>
      </c>
      <c r="F8" t="s">
        <v>38</v>
      </c>
      <c r="G8">
        <v>1000</v>
      </c>
      <c r="H8">
        <v>50</v>
      </c>
      <c r="I8">
        <v>1.5</v>
      </c>
      <c r="J8">
        <v>1.5</v>
      </c>
      <c r="K8">
        <v>0.7</v>
      </c>
      <c r="L8" t="str" cm="1">
        <f t="array" ref="L8">CONCATENATE("I'm using mealpy library to solve Graph Coloring Problem. My problem instance has  ", _xlfn.CHOOSECOLS(_xlfn.TEXTSPLIT(D8," "),1)," nodes and ", _xlfn.CHOOSECOLS(_xlfn.TEXTSPLIT(D8,"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36 nodes and 290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9" spans="1:12" x14ac:dyDescent="0.25">
      <c r="A9" t="s">
        <v>85</v>
      </c>
      <c r="B9" t="s">
        <v>70</v>
      </c>
      <c r="C9" t="s">
        <v>98</v>
      </c>
      <c r="D9" s="5" t="s">
        <v>101</v>
      </c>
      <c r="E9" t="s">
        <v>107</v>
      </c>
      <c r="F9" t="s">
        <v>38</v>
      </c>
      <c r="G9">
        <v>1000</v>
      </c>
      <c r="H9">
        <v>200</v>
      </c>
      <c r="I9">
        <v>1.5</v>
      </c>
      <c r="J9">
        <v>1.5</v>
      </c>
      <c r="K9">
        <v>0.7</v>
      </c>
      <c r="L9" t="str" cm="1">
        <f t="array" ref="L9">CONCATENATE("I'm using mealpy library to solve Graph Coloring Problem. My problem instance has  ", _xlfn.CHOOSECOLS(_xlfn.TEXTSPLIT(D9," "),1)," nodes and ", _xlfn.CHOOSECOLS(_xlfn.TEXTSPLIT(D9,"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49 nodes and 476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0" spans="1:12" x14ac:dyDescent="0.25">
      <c r="A10" t="s">
        <v>85</v>
      </c>
      <c r="B10" t="s">
        <v>70</v>
      </c>
      <c r="C10" t="s">
        <v>102</v>
      </c>
      <c r="D10" s="5" t="s">
        <v>103</v>
      </c>
      <c r="E10" t="s">
        <v>107</v>
      </c>
      <c r="F10" t="s">
        <v>38</v>
      </c>
      <c r="G10">
        <v>1000</v>
      </c>
      <c r="H10">
        <v>100</v>
      </c>
      <c r="I10">
        <v>1.5</v>
      </c>
      <c r="J10">
        <v>1.5</v>
      </c>
      <c r="K10">
        <v>0.7</v>
      </c>
      <c r="L10" t="str" cm="1">
        <f t="array" ref="L10">CONCATENATE("I'm using mealpy library to solve Graph Coloring Problem. My problem instance has  ", _xlfn.CHOOSECOLS(_xlfn.TEXTSPLIT(D10," "),1)," nodes and ", _xlfn.CHOOSECOLS(_xlfn.TEXTSPLIT(D10,"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64 nodes and 728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1" spans="1:12" x14ac:dyDescent="0.25">
      <c r="A11" t="s">
        <v>85</v>
      </c>
      <c r="B11" t="s">
        <v>70</v>
      </c>
      <c r="C11" t="s">
        <v>104</v>
      </c>
      <c r="D11" s="5" t="s">
        <v>105</v>
      </c>
      <c r="E11" t="s">
        <v>107</v>
      </c>
      <c r="F11" t="s">
        <v>38</v>
      </c>
      <c r="G11">
        <v>5000</v>
      </c>
      <c r="H11">
        <v>150</v>
      </c>
      <c r="I11">
        <v>1.5</v>
      </c>
      <c r="J11">
        <v>1.5</v>
      </c>
      <c r="K11">
        <v>0.7</v>
      </c>
      <c r="L11" t="str" cm="1">
        <f t="array" ref="L11">CONCATENATE("I'm using mealpy library to solve Graph Coloring Problem. My problem instance has  ", _xlfn.CHOOSECOLS(_xlfn.TEXTSPLIT(D11," "),1)," nodes and ", _xlfn.CHOOSECOLS(_xlfn.TEXTSPLIT(D11,"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81 nodes and 2112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2" spans="1:12" x14ac:dyDescent="0.25">
      <c r="A12" t="s">
        <v>85</v>
      </c>
      <c r="B12" t="s">
        <v>70</v>
      </c>
      <c r="C12" t="s">
        <v>86</v>
      </c>
      <c r="D12" t="s">
        <v>91</v>
      </c>
      <c r="E12" t="s">
        <v>109</v>
      </c>
      <c r="F12" t="s">
        <v>38</v>
      </c>
      <c r="G12">
        <v>1000</v>
      </c>
      <c r="H12">
        <v>30</v>
      </c>
      <c r="I12">
        <v>2</v>
      </c>
      <c r="J12">
        <v>2</v>
      </c>
      <c r="K12">
        <v>0.5</v>
      </c>
      <c r="L12" t="str" cm="1">
        <f t="array" ref="L12">CONCATENATE("I'm using mealpy library to solve Graph Coloring Problem. My problem instance has  ", _xlfn.CHOOSECOLS(_xlfn.TEXTSPLIT(D12," "),1)," nodes and ", _xlfn.CHOOSECOLS(_xlfn.TEXTSPLIT(D12,"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11 nodes and 20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3" spans="1:12" x14ac:dyDescent="0.25">
      <c r="A13" t="s">
        <v>85</v>
      </c>
      <c r="B13" t="s">
        <v>70</v>
      </c>
      <c r="C13" t="s">
        <v>87</v>
      </c>
      <c r="D13" t="s">
        <v>92</v>
      </c>
      <c r="E13" t="s">
        <v>109</v>
      </c>
      <c r="F13" t="s">
        <v>38</v>
      </c>
      <c r="G13">
        <v>10000</v>
      </c>
      <c r="H13">
        <v>50</v>
      </c>
      <c r="I13">
        <v>1.5</v>
      </c>
      <c r="J13">
        <v>1.5</v>
      </c>
      <c r="K13">
        <v>0.7</v>
      </c>
      <c r="L13" t="str" cm="1">
        <f t="array" ref="L13">CONCATENATE("I'm using mealpy library to solve Graph Coloring Problem. My problem instance has  ", _xlfn.CHOOSECOLS(_xlfn.TEXTSPLIT(D13," "),1)," nodes and ", _xlfn.CHOOSECOLS(_xlfn.TEXTSPLIT(D13,"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23 nodes and 71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4" spans="1:12" x14ac:dyDescent="0.25">
      <c r="A14" t="s">
        <v>85</v>
      </c>
      <c r="B14" t="s">
        <v>70</v>
      </c>
      <c r="C14" t="s">
        <v>88</v>
      </c>
      <c r="D14" s="5" t="s">
        <v>93</v>
      </c>
      <c r="E14" t="s">
        <v>109</v>
      </c>
      <c r="F14" t="s">
        <v>38</v>
      </c>
      <c r="G14">
        <v>1000</v>
      </c>
      <c r="H14">
        <v>50</v>
      </c>
      <c r="I14">
        <v>1.5</v>
      </c>
      <c r="J14">
        <v>1.5</v>
      </c>
      <c r="K14">
        <v>0.7</v>
      </c>
      <c r="L14" t="str" cm="1">
        <f t="array" ref="L14">CONCATENATE("I'm using mealpy library to solve Graph Coloring Problem. My problem instance has  ", _xlfn.CHOOSECOLS(_xlfn.TEXTSPLIT(D14," "),1)," nodes and ", _xlfn.CHOOSECOLS(_xlfn.TEXTSPLIT(D14,"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47 nodes and 236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5" spans="1:12" x14ac:dyDescent="0.25">
      <c r="A15" t="s">
        <v>85</v>
      </c>
      <c r="B15" t="s">
        <v>70</v>
      </c>
      <c r="C15" t="s">
        <v>89</v>
      </c>
      <c r="D15" s="5" t="s">
        <v>94</v>
      </c>
      <c r="E15" t="s">
        <v>109</v>
      </c>
      <c r="F15" t="s">
        <v>38</v>
      </c>
      <c r="G15">
        <v>50000</v>
      </c>
      <c r="H15">
        <v>50</v>
      </c>
      <c r="I15">
        <v>1.5</v>
      </c>
      <c r="J15">
        <v>1.5</v>
      </c>
      <c r="K15">
        <v>0.7</v>
      </c>
      <c r="L15" t="str" cm="1">
        <f t="array" ref="L15">CONCATENATE("I'm using mealpy library to solve Graph Coloring Problem. My problem instance has  ", _xlfn.CHOOSECOLS(_xlfn.TEXTSPLIT(D15," "),1)," nodes and ", _xlfn.CHOOSECOLS(_xlfn.TEXTSPLIT(D15,"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95 nodes and 755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6" spans="1:12" x14ac:dyDescent="0.25">
      <c r="A16" t="s">
        <v>85</v>
      </c>
      <c r="B16" t="s">
        <v>70</v>
      </c>
      <c r="C16" t="s">
        <v>90</v>
      </c>
      <c r="D16" s="5" t="s">
        <v>95</v>
      </c>
      <c r="E16" t="s">
        <v>109</v>
      </c>
      <c r="F16" t="s">
        <v>38</v>
      </c>
      <c r="G16">
        <v>10000</v>
      </c>
      <c r="H16">
        <v>100</v>
      </c>
      <c r="I16">
        <v>2</v>
      </c>
      <c r="J16">
        <v>2</v>
      </c>
      <c r="K16">
        <v>0.7</v>
      </c>
      <c r="L16" t="str" cm="1">
        <f t="array" ref="L16">CONCATENATE("I'm using mealpy library to solve Graph Coloring Problem. My problem instance has  ", _xlfn.CHOOSECOLS(_xlfn.TEXTSPLIT(D16," "),1)," nodes and ", _xlfn.CHOOSECOLS(_xlfn.TEXTSPLIT(D16,"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191 nodes and 2360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7" spans="1:12" x14ac:dyDescent="0.25">
      <c r="A17" t="s">
        <v>85</v>
      </c>
      <c r="B17" t="s">
        <v>70</v>
      </c>
      <c r="C17" t="s">
        <v>96</v>
      </c>
      <c r="D17" s="5" t="s">
        <v>99</v>
      </c>
      <c r="E17" t="s">
        <v>109</v>
      </c>
      <c r="F17" t="s">
        <v>38</v>
      </c>
      <c r="G17">
        <v>500</v>
      </c>
      <c r="H17">
        <v>50</v>
      </c>
      <c r="I17">
        <v>1.5</v>
      </c>
      <c r="J17">
        <v>1.5</v>
      </c>
      <c r="K17">
        <v>0.8</v>
      </c>
      <c r="L17" t="str" cm="1">
        <f t="array" ref="L17">CONCATENATE("I'm using mealpy library to solve Graph Coloring Problem. My problem instance has  ", _xlfn.CHOOSECOLS(_xlfn.TEXTSPLIT(D17," "),1)," nodes and ", _xlfn.CHOOSECOLS(_xlfn.TEXTSPLIT(D17,"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25 nodes and 160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8" spans="1:12" x14ac:dyDescent="0.25">
      <c r="A18" t="s">
        <v>85</v>
      </c>
      <c r="B18" t="s">
        <v>70</v>
      </c>
      <c r="C18" t="s">
        <v>97</v>
      </c>
      <c r="D18" s="5" t="s">
        <v>100</v>
      </c>
      <c r="E18" t="s">
        <v>109</v>
      </c>
      <c r="F18" t="s">
        <v>38</v>
      </c>
      <c r="G18">
        <v>1000</v>
      </c>
      <c r="H18">
        <v>50</v>
      </c>
      <c r="I18">
        <v>2</v>
      </c>
      <c r="J18">
        <v>2</v>
      </c>
      <c r="K18">
        <v>0.7</v>
      </c>
      <c r="L18" t="str" cm="1">
        <f t="array" ref="L18">CONCATENATE("I'm using mealpy library to solve Graph Coloring Problem. My problem instance has  ", _xlfn.CHOOSECOLS(_xlfn.TEXTSPLIT(D18," "),1)," nodes and ", _xlfn.CHOOSECOLS(_xlfn.TEXTSPLIT(D18,"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36 nodes and 290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19" spans="1:12" x14ac:dyDescent="0.25">
      <c r="A19" t="s">
        <v>85</v>
      </c>
      <c r="B19" t="s">
        <v>70</v>
      </c>
      <c r="C19" t="s">
        <v>98</v>
      </c>
      <c r="D19" s="5" t="s">
        <v>101</v>
      </c>
      <c r="E19" t="s">
        <v>109</v>
      </c>
      <c r="F19" t="s">
        <v>38</v>
      </c>
      <c r="G19">
        <v>1000</v>
      </c>
      <c r="H19">
        <v>50</v>
      </c>
      <c r="I19">
        <v>1.5</v>
      </c>
      <c r="J19">
        <v>1.5</v>
      </c>
      <c r="K19">
        <v>0.7</v>
      </c>
      <c r="L19" t="str" cm="1">
        <f t="array" ref="L19">CONCATENATE("I'm using mealpy library to solve Graph Coloring Problem. My problem instance has  ", _xlfn.CHOOSECOLS(_xlfn.TEXTSPLIT(D19," "),1)," nodes and ", _xlfn.CHOOSECOLS(_xlfn.TEXTSPLIT(D19,"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49 nodes and 476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0" spans="1:12" x14ac:dyDescent="0.25">
      <c r="A20" t="s">
        <v>85</v>
      </c>
      <c r="B20" t="s">
        <v>70</v>
      </c>
      <c r="C20" t="s">
        <v>102</v>
      </c>
      <c r="D20" s="5" t="s">
        <v>103</v>
      </c>
      <c r="E20" t="s">
        <v>109</v>
      </c>
      <c r="F20" t="s">
        <v>38</v>
      </c>
      <c r="G20">
        <v>10000</v>
      </c>
      <c r="H20">
        <v>50</v>
      </c>
      <c r="I20">
        <v>1.5</v>
      </c>
      <c r="J20">
        <v>1.5</v>
      </c>
      <c r="K20">
        <v>0.7</v>
      </c>
      <c r="L20" t="str" cm="1">
        <f t="array" ref="L20">CONCATENATE("I'm using mealpy library to solve Graph Coloring Problem. My problem instance has  ", _xlfn.CHOOSECOLS(_xlfn.TEXTSPLIT(D20," "),1)," nodes and ", _xlfn.CHOOSECOLS(_xlfn.TEXTSPLIT(D20,"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64 nodes and 728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1" spans="1:12" x14ac:dyDescent="0.25">
      <c r="A21" t="s">
        <v>85</v>
      </c>
      <c r="B21" t="s">
        <v>70</v>
      </c>
      <c r="C21" t="s">
        <v>104</v>
      </c>
      <c r="D21" s="5" t="s">
        <v>105</v>
      </c>
      <c r="E21" t="s">
        <v>109</v>
      </c>
      <c r="F21" t="s">
        <v>38</v>
      </c>
      <c r="G21">
        <v>5000</v>
      </c>
      <c r="H21">
        <v>50</v>
      </c>
      <c r="I21">
        <v>1.5</v>
      </c>
      <c r="J21">
        <v>1.5</v>
      </c>
      <c r="K21">
        <v>0.5</v>
      </c>
      <c r="L21" t="str" cm="1">
        <f t="array" ref="L21">CONCATENATE("I'm using mealpy library to solve Graph Coloring Problem. My problem instance has  ", _xlfn.CHOOSECOLS(_xlfn.TEXTSPLIT(D21," "),1)," nodes and ", _xlfn.CHOOSECOLS(_xlfn.TEXTSPLIT(D21,"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81 nodes and 2112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2" spans="1:12" x14ac:dyDescent="0.25">
      <c r="A22" t="s">
        <v>85</v>
      </c>
      <c r="B22" t="s">
        <v>70</v>
      </c>
      <c r="C22" t="s">
        <v>86</v>
      </c>
      <c r="D22" t="s">
        <v>91</v>
      </c>
      <c r="E22" t="s">
        <v>8</v>
      </c>
      <c r="F22" t="s">
        <v>38</v>
      </c>
      <c r="G22">
        <v>200</v>
      </c>
      <c r="H22">
        <v>50</v>
      </c>
      <c r="I22">
        <v>1.5</v>
      </c>
      <c r="J22">
        <v>1.5</v>
      </c>
      <c r="K22">
        <v>0.7</v>
      </c>
      <c r="L22" t="str" cm="1">
        <f t="array" ref="L22">CONCATENATE("I'm using mealpy library to solve Graph Coloring Problem. My problem instance has  ", _xlfn.CHOOSECOLS(_xlfn.TEXTSPLIT(D22," "),1)," nodes and ", _xlfn.CHOOSECOLS(_xlfn.TEXTSPLIT(D22,"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11 nodes and 20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3" spans="1:12" x14ac:dyDescent="0.25">
      <c r="A23" t="s">
        <v>85</v>
      </c>
      <c r="B23" t="s">
        <v>70</v>
      </c>
      <c r="C23" t="s">
        <v>87</v>
      </c>
      <c r="D23" t="s">
        <v>92</v>
      </c>
      <c r="E23" t="s">
        <v>8</v>
      </c>
      <c r="F23" t="s">
        <v>38</v>
      </c>
      <c r="G23">
        <v>200</v>
      </c>
      <c r="H23">
        <v>50</v>
      </c>
      <c r="I23">
        <v>1.5</v>
      </c>
      <c r="J23">
        <v>1.5</v>
      </c>
      <c r="K23">
        <v>0.7</v>
      </c>
      <c r="L23" t="str" cm="1">
        <f t="array" ref="L23">CONCATENATE("I'm using mealpy library to solve Graph Coloring Problem. My problem instance has  ", _xlfn.CHOOSECOLS(_xlfn.TEXTSPLIT(D23," "),1)," nodes and ", _xlfn.CHOOSECOLS(_xlfn.TEXTSPLIT(D23,"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23 nodes and 71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4" spans="1:12" x14ac:dyDescent="0.25">
      <c r="A24" t="s">
        <v>85</v>
      </c>
      <c r="B24" t="s">
        <v>70</v>
      </c>
      <c r="C24" t="s">
        <v>88</v>
      </c>
      <c r="D24" s="5" t="s">
        <v>93</v>
      </c>
      <c r="E24" t="s">
        <v>8</v>
      </c>
      <c r="F24" t="s">
        <v>38</v>
      </c>
      <c r="G24">
        <v>200</v>
      </c>
      <c r="H24">
        <v>50</v>
      </c>
      <c r="I24">
        <v>1.5</v>
      </c>
      <c r="J24">
        <v>1.5</v>
      </c>
      <c r="K24">
        <v>0.7</v>
      </c>
      <c r="L24" t="str" cm="1">
        <f t="array" ref="L24">CONCATENATE("I'm using mealpy library to solve Graph Coloring Problem. My problem instance has  ", _xlfn.CHOOSECOLS(_xlfn.TEXTSPLIT(D24," "),1)," nodes and ", _xlfn.CHOOSECOLS(_xlfn.TEXTSPLIT(D24,"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47 nodes and 236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5" spans="1:12" x14ac:dyDescent="0.25">
      <c r="A25" t="s">
        <v>85</v>
      </c>
      <c r="B25" t="s">
        <v>70</v>
      </c>
      <c r="C25" t="s">
        <v>89</v>
      </c>
      <c r="D25" s="5" t="s">
        <v>94</v>
      </c>
      <c r="E25" t="s">
        <v>8</v>
      </c>
      <c r="F25" t="s">
        <v>38</v>
      </c>
      <c r="G25">
        <v>200</v>
      </c>
      <c r="H25">
        <v>50</v>
      </c>
      <c r="I25">
        <v>1.5</v>
      </c>
      <c r="J25">
        <v>2</v>
      </c>
      <c r="K25">
        <v>0.7</v>
      </c>
      <c r="L25" t="str" cm="1">
        <f t="array" ref="L25">CONCATENATE("I'm using mealpy library to solve Graph Coloring Problem. My problem instance has  ", _xlfn.CHOOSECOLS(_xlfn.TEXTSPLIT(D25," "),1)," nodes and ", _xlfn.CHOOSECOLS(_xlfn.TEXTSPLIT(D25,"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95 nodes and 755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6" spans="1:12" x14ac:dyDescent="0.25">
      <c r="A26" t="s">
        <v>85</v>
      </c>
      <c r="B26" t="s">
        <v>70</v>
      </c>
      <c r="C26" t="s">
        <v>90</v>
      </c>
      <c r="D26" s="5" t="s">
        <v>95</v>
      </c>
      <c r="E26" t="s">
        <v>8</v>
      </c>
      <c r="F26" t="s">
        <v>38</v>
      </c>
      <c r="G26">
        <v>100</v>
      </c>
      <c r="H26">
        <v>50</v>
      </c>
      <c r="I26">
        <v>1.5</v>
      </c>
      <c r="J26">
        <v>1.5</v>
      </c>
      <c r="K26">
        <v>0.7</v>
      </c>
      <c r="L26" t="str" cm="1">
        <f t="array" ref="L26">CONCATENATE("I'm using mealpy library to solve Graph Coloring Problem. My problem instance has  ", _xlfn.CHOOSECOLS(_xlfn.TEXTSPLIT(D26," "),1)," nodes and ", _xlfn.CHOOSECOLS(_xlfn.TEXTSPLIT(D26,"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191 nodes and 2360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7" spans="1:12" x14ac:dyDescent="0.25">
      <c r="A27" t="s">
        <v>85</v>
      </c>
      <c r="B27" t="s">
        <v>70</v>
      </c>
      <c r="C27" t="s">
        <v>96</v>
      </c>
      <c r="D27" s="5" t="s">
        <v>99</v>
      </c>
      <c r="E27" t="s">
        <v>8</v>
      </c>
      <c r="F27" t="s">
        <v>38</v>
      </c>
      <c r="G27">
        <v>100</v>
      </c>
      <c r="H27">
        <v>50</v>
      </c>
      <c r="I27">
        <v>2</v>
      </c>
      <c r="J27">
        <v>2</v>
      </c>
      <c r="K27">
        <v>0.7</v>
      </c>
      <c r="L27" t="str" cm="1">
        <f t="array" ref="L27">CONCATENATE("I'm using mealpy library to solve Graph Coloring Problem. My problem instance has  ", _xlfn.CHOOSECOLS(_xlfn.TEXTSPLIT(D27," "),1)," nodes and ", _xlfn.CHOOSECOLS(_xlfn.TEXTSPLIT(D27,"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25 nodes and 160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8" spans="1:12" x14ac:dyDescent="0.25">
      <c r="A28" t="s">
        <v>85</v>
      </c>
      <c r="B28" t="s">
        <v>70</v>
      </c>
      <c r="C28" t="s">
        <v>97</v>
      </c>
      <c r="D28" s="5" t="s">
        <v>100</v>
      </c>
      <c r="E28" t="s">
        <v>8</v>
      </c>
      <c r="F28" t="s">
        <v>38</v>
      </c>
      <c r="G28">
        <v>200</v>
      </c>
      <c r="H28">
        <v>50</v>
      </c>
      <c r="I28">
        <v>2</v>
      </c>
      <c r="J28">
        <v>2</v>
      </c>
      <c r="K28">
        <v>0.9</v>
      </c>
      <c r="L28" t="str" cm="1">
        <f t="array" ref="L28">CONCATENATE("I'm using mealpy library to solve Graph Coloring Problem. My problem instance has  ", _xlfn.CHOOSECOLS(_xlfn.TEXTSPLIT(D28," "),1)," nodes and ", _xlfn.CHOOSECOLS(_xlfn.TEXTSPLIT(D28,"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36 nodes and 290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29" spans="1:12" x14ac:dyDescent="0.25">
      <c r="A29" t="s">
        <v>85</v>
      </c>
      <c r="B29" t="s">
        <v>70</v>
      </c>
      <c r="C29" t="s">
        <v>98</v>
      </c>
      <c r="D29" s="5" t="s">
        <v>101</v>
      </c>
      <c r="E29" t="s">
        <v>8</v>
      </c>
      <c r="F29" t="s">
        <v>38</v>
      </c>
      <c r="G29">
        <v>200</v>
      </c>
      <c r="H29">
        <v>50</v>
      </c>
      <c r="I29">
        <v>1.5</v>
      </c>
      <c r="J29">
        <v>2</v>
      </c>
      <c r="K29">
        <v>0.7</v>
      </c>
      <c r="L29" t="str" cm="1">
        <f t="array" ref="L29">CONCATENATE("I'm using mealpy library to solve Graph Coloring Problem. My problem instance has  ", _xlfn.CHOOSECOLS(_xlfn.TEXTSPLIT(D29," "),1)," nodes and ", _xlfn.CHOOSECOLS(_xlfn.TEXTSPLIT(D29,"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49 nodes and 476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0" spans="1:12" x14ac:dyDescent="0.25">
      <c r="A30" t="s">
        <v>85</v>
      </c>
      <c r="B30" t="s">
        <v>70</v>
      </c>
      <c r="C30" t="s">
        <v>102</v>
      </c>
      <c r="D30" s="5" t="s">
        <v>103</v>
      </c>
      <c r="E30" t="s">
        <v>8</v>
      </c>
      <c r="F30" t="s">
        <v>38</v>
      </c>
      <c r="G30">
        <v>200</v>
      </c>
      <c r="H30">
        <v>50</v>
      </c>
      <c r="I30">
        <v>1.5</v>
      </c>
      <c r="J30">
        <v>1.5</v>
      </c>
      <c r="K30">
        <v>0.7</v>
      </c>
      <c r="L30" t="str" cm="1">
        <f t="array" ref="L30">CONCATENATE("I'm using mealpy library to solve Graph Coloring Problem. My problem instance has  ", _xlfn.CHOOSECOLS(_xlfn.TEXTSPLIT(D30," "),1)," nodes and ", _xlfn.CHOOSECOLS(_xlfn.TEXTSPLIT(D30,"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64 nodes and 728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1" spans="1:12" x14ac:dyDescent="0.25">
      <c r="A31" t="s">
        <v>85</v>
      </c>
      <c r="B31" t="s">
        <v>70</v>
      </c>
      <c r="C31" t="s">
        <v>104</v>
      </c>
      <c r="D31" s="5" t="s">
        <v>105</v>
      </c>
      <c r="E31" t="s">
        <v>8</v>
      </c>
      <c r="F31" t="s">
        <v>38</v>
      </c>
      <c r="G31">
        <v>200</v>
      </c>
      <c r="H31">
        <v>50</v>
      </c>
      <c r="I31">
        <v>2</v>
      </c>
      <c r="J31">
        <v>2</v>
      </c>
      <c r="K31">
        <v>0.7</v>
      </c>
      <c r="L31" t="str" cm="1">
        <f t="array" ref="L31">CONCATENATE("I'm using mealpy library to solve Graph Coloring Problem. My problem instance has  ", _xlfn.CHOOSECOLS(_xlfn.TEXTSPLIT(D31," "),1)," nodes and ", _xlfn.CHOOSECOLS(_xlfn.TEXTSPLIT(D31,"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81 nodes and 2112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2" spans="1:12" x14ac:dyDescent="0.25">
      <c r="A32" t="s">
        <v>85</v>
      </c>
      <c r="B32" t="s">
        <v>70</v>
      </c>
      <c r="C32" t="s">
        <v>86</v>
      </c>
      <c r="D32" t="s">
        <v>91</v>
      </c>
      <c r="E32" t="s">
        <v>110</v>
      </c>
      <c r="F32" t="s">
        <v>38</v>
      </c>
      <c r="G32">
        <v>500</v>
      </c>
      <c r="H32">
        <v>50</v>
      </c>
      <c r="I32">
        <v>1.5</v>
      </c>
      <c r="J32">
        <v>1.5</v>
      </c>
      <c r="K32">
        <v>0.7</v>
      </c>
      <c r="L32" t="str" cm="1">
        <f t="array" ref="L32">CONCATENATE("I'm using mealpy library to solve Graph Coloring Problem. My problem instance has  ", _xlfn.CHOOSECOLS(_xlfn.TEXTSPLIT(D32," "),1)," nodes and ", _xlfn.CHOOSECOLS(_xlfn.TEXTSPLIT(D32,"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11 nodes and 20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3" spans="1:12" x14ac:dyDescent="0.25">
      <c r="A33" t="s">
        <v>85</v>
      </c>
      <c r="B33" t="s">
        <v>70</v>
      </c>
      <c r="C33" t="s">
        <v>87</v>
      </c>
      <c r="D33" t="s">
        <v>92</v>
      </c>
      <c r="E33" t="s">
        <v>110</v>
      </c>
      <c r="F33" t="s">
        <v>38</v>
      </c>
      <c r="G33">
        <v>1000</v>
      </c>
      <c r="H33">
        <v>50</v>
      </c>
      <c r="I33">
        <v>1.5</v>
      </c>
      <c r="J33">
        <v>1.5</v>
      </c>
      <c r="K33">
        <v>0.7</v>
      </c>
      <c r="L33" t="str" cm="1">
        <f t="array" ref="L33">CONCATENATE("I'm using mealpy library to solve Graph Coloring Problem. My problem instance has  ", _xlfn.CHOOSECOLS(_xlfn.TEXTSPLIT(D33," "),1)," nodes and ", _xlfn.CHOOSECOLS(_xlfn.TEXTSPLIT(D33,"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23 nodes and 71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4" spans="1:12" x14ac:dyDescent="0.25">
      <c r="A34" t="s">
        <v>85</v>
      </c>
      <c r="B34" t="s">
        <v>70</v>
      </c>
      <c r="C34" t="s">
        <v>88</v>
      </c>
      <c r="D34" s="5" t="s">
        <v>93</v>
      </c>
      <c r="E34" t="s">
        <v>110</v>
      </c>
      <c r="F34" t="s">
        <v>38</v>
      </c>
      <c r="G34">
        <v>1000</v>
      </c>
      <c r="H34">
        <v>50</v>
      </c>
      <c r="I34">
        <v>1.5</v>
      </c>
      <c r="J34">
        <v>1.5</v>
      </c>
      <c r="K34">
        <v>0.7</v>
      </c>
      <c r="L34" t="str" cm="1">
        <f t="array" ref="L34">CONCATENATE("I'm using mealpy library to solve Graph Coloring Problem. My problem instance has  ", _xlfn.CHOOSECOLS(_xlfn.TEXTSPLIT(D34," "),1)," nodes and ", _xlfn.CHOOSECOLS(_xlfn.TEXTSPLIT(D34,"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47 nodes and 236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5" spans="1:12" x14ac:dyDescent="0.25">
      <c r="A35" t="s">
        <v>85</v>
      </c>
      <c r="B35" t="s">
        <v>70</v>
      </c>
      <c r="C35" t="s">
        <v>89</v>
      </c>
      <c r="D35" s="5" t="s">
        <v>94</v>
      </c>
      <c r="E35" t="s">
        <v>110</v>
      </c>
      <c r="F35" t="s">
        <v>38</v>
      </c>
      <c r="G35">
        <v>1000</v>
      </c>
      <c r="H35">
        <v>50</v>
      </c>
      <c r="I35">
        <v>1.5</v>
      </c>
      <c r="J35">
        <v>1.5</v>
      </c>
      <c r="K35">
        <v>0.7</v>
      </c>
      <c r="L35" t="str" cm="1">
        <f t="array" ref="L35">CONCATENATE("I'm using mealpy library to solve Graph Coloring Problem. My problem instance has  ", _xlfn.CHOOSECOLS(_xlfn.TEXTSPLIT(D35," "),1)," nodes and ", _xlfn.CHOOSECOLS(_xlfn.TEXTSPLIT(D35,"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95 nodes and 755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6" spans="1:12" x14ac:dyDescent="0.25">
      <c r="A36" t="s">
        <v>85</v>
      </c>
      <c r="B36" t="s">
        <v>70</v>
      </c>
      <c r="C36" t="s">
        <v>90</v>
      </c>
      <c r="D36" s="5" t="s">
        <v>95</v>
      </c>
      <c r="E36" t="s">
        <v>110</v>
      </c>
      <c r="F36" t="s">
        <v>38</v>
      </c>
      <c r="G36">
        <v>1000</v>
      </c>
      <c r="H36">
        <v>50</v>
      </c>
      <c r="I36">
        <v>1.5</v>
      </c>
      <c r="J36">
        <v>1.5</v>
      </c>
      <c r="K36">
        <v>0.7</v>
      </c>
      <c r="L36" t="str" cm="1">
        <f t="array" ref="L36">CONCATENATE("I'm using mealpy library to solve Graph Coloring Problem. My problem instance has  ", _xlfn.CHOOSECOLS(_xlfn.TEXTSPLIT(D36," "),1)," nodes and ", _xlfn.CHOOSECOLS(_xlfn.TEXTSPLIT(D36,"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191 nodes and 2360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7" spans="1:12" x14ac:dyDescent="0.25">
      <c r="A37" t="s">
        <v>85</v>
      </c>
      <c r="B37" t="s">
        <v>70</v>
      </c>
      <c r="C37" t="s">
        <v>96</v>
      </c>
      <c r="D37" s="5" t="s">
        <v>99</v>
      </c>
      <c r="E37" t="s">
        <v>110</v>
      </c>
      <c r="F37" t="s">
        <v>38</v>
      </c>
      <c r="G37">
        <v>5000</v>
      </c>
      <c r="H37">
        <v>50</v>
      </c>
      <c r="I37">
        <v>1.5</v>
      </c>
      <c r="J37">
        <v>1.5</v>
      </c>
      <c r="K37">
        <v>0.7</v>
      </c>
      <c r="L37" t="str" cm="1">
        <f t="array" ref="L37">CONCATENATE("I'm using mealpy library to solve Graph Coloring Problem. My problem instance has  ", _xlfn.CHOOSECOLS(_xlfn.TEXTSPLIT(D37," "),1)," nodes and ", _xlfn.CHOOSECOLS(_xlfn.TEXTSPLIT(D37,"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25 nodes and 160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8" spans="1:12" x14ac:dyDescent="0.25">
      <c r="A38" t="s">
        <v>85</v>
      </c>
      <c r="B38" t="s">
        <v>70</v>
      </c>
      <c r="C38" t="s">
        <v>97</v>
      </c>
      <c r="D38" s="5" t="s">
        <v>100</v>
      </c>
      <c r="E38" t="s">
        <v>110</v>
      </c>
      <c r="F38" t="s">
        <v>38</v>
      </c>
      <c r="G38">
        <v>5000</v>
      </c>
      <c r="H38">
        <v>50</v>
      </c>
      <c r="I38">
        <v>1.5</v>
      </c>
      <c r="J38">
        <v>1.5</v>
      </c>
      <c r="K38">
        <v>0.7</v>
      </c>
      <c r="L38" t="str" cm="1">
        <f t="array" ref="L38">CONCATENATE("I'm using mealpy library to solve Graph Coloring Problem. My problem instance has  ", _xlfn.CHOOSECOLS(_xlfn.TEXTSPLIT(D38," "),1)," nodes and ", _xlfn.CHOOSECOLS(_xlfn.TEXTSPLIT(D38,"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36 nodes and 290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39" spans="1:12" x14ac:dyDescent="0.25">
      <c r="A39" t="s">
        <v>85</v>
      </c>
      <c r="B39" t="s">
        <v>70</v>
      </c>
      <c r="C39" t="s">
        <v>98</v>
      </c>
      <c r="D39" s="5" t="s">
        <v>101</v>
      </c>
      <c r="E39" t="s">
        <v>110</v>
      </c>
      <c r="F39" t="s">
        <v>38</v>
      </c>
      <c r="G39">
        <v>2000</v>
      </c>
      <c r="H39">
        <v>50</v>
      </c>
      <c r="I39">
        <v>2</v>
      </c>
      <c r="J39">
        <v>2</v>
      </c>
      <c r="K39">
        <v>0.7</v>
      </c>
      <c r="L39" t="str" cm="1">
        <f t="array" ref="L39">CONCATENATE("I'm using mealpy library to solve Graph Coloring Problem. My problem instance has  ", _xlfn.CHOOSECOLS(_xlfn.TEXTSPLIT(D39," "),1)," nodes and ", _xlfn.CHOOSECOLS(_xlfn.TEXTSPLIT(D39,"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49 nodes and 476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40" spans="1:12" x14ac:dyDescent="0.25">
      <c r="A40" t="s">
        <v>85</v>
      </c>
      <c r="B40" t="s">
        <v>70</v>
      </c>
      <c r="C40" t="s">
        <v>102</v>
      </c>
      <c r="D40" s="5" t="s">
        <v>103</v>
      </c>
      <c r="E40" t="s">
        <v>110</v>
      </c>
      <c r="F40" t="s">
        <v>38</v>
      </c>
      <c r="G40">
        <v>1000</v>
      </c>
      <c r="H40">
        <v>100</v>
      </c>
      <c r="I40">
        <v>1.5</v>
      </c>
      <c r="J40">
        <v>1.5</v>
      </c>
      <c r="K40">
        <v>0.7</v>
      </c>
      <c r="L40" t="str" cm="1">
        <f t="array" ref="L40">CONCATENATE("I'm using mealpy library to solve Graph Coloring Problem. My problem instance has  ", _xlfn.CHOOSECOLS(_xlfn.TEXTSPLIT(D40," "),1)," nodes and ", _xlfn.CHOOSECOLS(_xlfn.TEXTSPLIT(D40,"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64 nodes and 728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41" spans="1:12" x14ac:dyDescent="0.25">
      <c r="A41" t="s">
        <v>85</v>
      </c>
      <c r="B41" t="s">
        <v>70</v>
      </c>
      <c r="C41" t="s">
        <v>104</v>
      </c>
      <c r="D41" s="5" t="s">
        <v>105</v>
      </c>
      <c r="E41" t="s">
        <v>110</v>
      </c>
      <c r="F41" t="s">
        <v>38</v>
      </c>
      <c r="G41">
        <v>1000</v>
      </c>
      <c r="H41">
        <v>50</v>
      </c>
      <c r="I41">
        <v>1.5</v>
      </c>
      <c r="J41">
        <v>1.5</v>
      </c>
      <c r="K41">
        <v>0.7</v>
      </c>
      <c r="L41" t="str" cm="1">
        <f t="array" ref="L41">CONCATENATE("I'm using mealpy library to solve Graph Coloring Problem. My problem instance has  ", _xlfn.CHOOSECOLS(_xlfn.TEXTSPLIT(D41," "),1)," nodes and ", _xlfn.CHOOSECOLS(_xlfn.TEXTSPLIT(D41," "),2), " edges ", " I want to use Particle Swarm Optimizer to solve it. Mealpy's implementation of PSO takes following parameters: epoch (integer smaller than 1000000), pop_size (integer), c1 (float), c2 (float), w (float). ", "In brackets I wrote possible parameter values or its type. Suggest me parameter values in this problem setup. Give exact values and present them in python dictionary.")</f>
        <v>I'm using mealpy library to solve Graph Coloring Problem. My problem instance has  81 nodes and 2112 edges  I want to use Particle Swarm Optimizer to solve it. Mealpy's implementation of PSO takes following parameters: epoch (integer smaller than 1000000), pop_size (integer), c1 (float), c2 (float), w (float). In brackets I wrote possible parameter values or its type. Suggest me parameter values in this problem setup. Give exact values and present them in python dictionary.</v>
      </c>
    </row>
    <row r="42" spans="1:12" x14ac:dyDescent="0.25">
      <c r="A42" t="s">
        <v>85</v>
      </c>
      <c r="B42" t="s">
        <v>70</v>
      </c>
      <c r="C42" s="2" t="s">
        <v>86</v>
      </c>
      <c r="D42" t="s">
        <v>91</v>
      </c>
      <c r="E42" t="s">
        <v>36</v>
      </c>
      <c r="F42" t="s">
        <v>38</v>
      </c>
      <c r="G42">
        <v>10000</v>
      </c>
      <c r="H42">
        <v>100</v>
      </c>
      <c r="I42">
        <v>2.0499999999999998</v>
      </c>
      <c r="J42">
        <v>2.0499999999999998</v>
      </c>
      <c r="K42">
        <v>0.4</v>
      </c>
    </row>
    <row r="43" spans="1:12" x14ac:dyDescent="0.25">
      <c r="A43" t="s">
        <v>85</v>
      </c>
      <c r="B43" t="s">
        <v>70</v>
      </c>
      <c r="C43" s="2" t="s">
        <v>87</v>
      </c>
      <c r="D43" t="s">
        <v>92</v>
      </c>
      <c r="E43" t="s">
        <v>36</v>
      </c>
      <c r="F43" t="s">
        <v>38</v>
      </c>
      <c r="G43">
        <v>10000</v>
      </c>
      <c r="H43">
        <v>100</v>
      </c>
      <c r="I43">
        <v>2.0499999999999998</v>
      </c>
      <c r="J43">
        <v>2.0499999999999998</v>
      </c>
      <c r="K43">
        <v>0.4</v>
      </c>
    </row>
    <row r="44" spans="1:12" x14ac:dyDescent="0.25">
      <c r="A44" t="s">
        <v>85</v>
      </c>
      <c r="B44" t="s">
        <v>70</v>
      </c>
      <c r="C44" s="2" t="s">
        <v>88</v>
      </c>
      <c r="D44" s="5" t="s">
        <v>93</v>
      </c>
      <c r="E44" t="s">
        <v>36</v>
      </c>
      <c r="F44" t="s">
        <v>38</v>
      </c>
      <c r="G44">
        <v>10000</v>
      </c>
      <c r="H44">
        <v>100</v>
      </c>
      <c r="I44">
        <v>2.0499999999999998</v>
      </c>
      <c r="J44">
        <v>2.0499999999999998</v>
      </c>
      <c r="K44">
        <v>0.4</v>
      </c>
    </row>
    <row r="45" spans="1:12" x14ac:dyDescent="0.25">
      <c r="A45" t="s">
        <v>85</v>
      </c>
      <c r="B45" t="s">
        <v>70</v>
      </c>
      <c r="C45" s="2" t="s">
        <v>89</v>
      </c>
      <c r="D45" s="5" t="s">
        <v>94</v>
      </c>
      <c r="E45" t="s">
        <v>36</v>
      </c>
      <c r="F45" t="s">
        <v>38</v>
      </c>
      <c r="G45">
        <v>10000</v>
      </c>
      <c r="H45">
        <v>100</v>
      </c>
      <c r="I45">
        <v>2.0499999999999998</v>
      </c>
      <c r="J45">
        <v>2.0499999999999998</v>
      </c>
      <c r="K45">
        <v>0.4</v>
      </c>
    </row>
    <row r="46" spans="1:12" x14ac:dyDescent="0.25">
      <c r="A46" t="s">
        <v>85</v>
      </c>
      <c r="B46" t="s">
        <v>70</v>
      </c>
      <c r="C46" s="2" t="s">
        <v>90</v>
      </c>
      <c r="D46" s="5" t="s">
        <v>95</v>
      </c>
      <c r="E46" t="s">
        <v>36</v>
      </c>
      <c r="F46" t="s">
        <v>38</v>
      </c>
      <c r="G46">
        <v>10000</v>
      </c>
      <c r="H46">
        <v>100</v>
      </c>
      <c r="I46">
        <v>2.0499999999999998</v>
      </c>
      <c r="J46">
        <v>2.0499999999999998</v>
      </c>
      <c r="K46">
        <v>0.4</v>
      </c>
    </row>
    <row r="47" spans="1:12" x14ac:dyDescent="0.25">
      <c r="A47" t="s">
        <v>85</v>
      </c>
      <c r="B47" t="s">
        <v>70</v>
      </c>
      <c r="C47" s="2" t="s">
        <v>96</v>
      </c>
      <c r="D47" s="5" t="s">
        <v>99</v>
      </c>
      <c r="E47" t="s">
        <v>36</v>
      </c>
      <c r="F47" t="s">
        <v>38</v>
      </c>
      <c r="G47">
        <v>10000</v>
      </c>
      <c r="H47">
        <v>100</v>
      </c>
      <c r="I47">
        <v>2.0499999999999998</v>
      </c>
      <c r="J47">
        <v>2.0499999999999998</v>
      </c>
      <c r="K47">
        <v>0.4</v>
      </c>
    </row>
    <row r="48" spans="1:12" x14ac:dyDescent="0.25">
      <c r="A48" t="s">
        <v>85</v>
      </c>
      <c r="B48" t="s">
        <v>70</v>
      </c>
      <c r="C48" s="2" t="s">
        <v>97</v>
      </c>
      <c r="D48" s="5" t="s">
        <v>100</v>
      </c>
      <c r="E48" t="s">
        <v>36</v>
      </c>
      <c r="F48" t="s">
        <v>38</v>
      </c>
      <c r="G48">
        <v>10000</v>
      </c>
      <c r="H48">
        <v>100</v>
      </c>
      <c r="I48">
        <v>2.0499999999999998</v>
      </c>
      <c r="J48">
        <v>2.0499999999999998</v>
      </c>
      <c r="K48">
        <v>0.4</v>
      </c>
    </row>
    <row r="49" spans="1:12" x14ac:dyDescent="0.25">
      <c r="A49" t="s">
        <v>85</v>
      </c>
      <c r="B49" t="s">
        <v>70</v>
      </c>
      <c r="C49" s="2" t="s">
        <v>98</v>
      </c>
      <c r="D49" s="5" t="s">
        <v>101</v>
      </c>
      <c r="E49" t="s">
        <v>36</v>
      </c>
      <c r="F49" t="s">
        <v>38</v>
      </c>
      <c r="G49">
        <v>10000</v>
      </c>
      <c r="H49">
        <v>100</v>
      </c>
      <c r="I49">
        <v>2.0499999999999998</v>
      </c>
      <c r="J49">
        <v>2.0499999999999998</v>
      </c>
      <c r="K49">
        <v>0.4</v>
      </c>
    </row>
    <row r="50" spans="1:12" x14ac:dyDescent="0.25">
      <c r="A50" t="s">
        <v>85</v>
      </c>
      <c r="B50" t="s">
        <v>70</v>
      </c>
      <c r="C50" s="2" t="s">
        <v>102</v>
      </c>
      <c r="D50" s="5" t="s">
        <v>103</v>
      </c>
      <c r="E50" t="s">
        <v>36</v>
      </c>
      <c r="F50" t="s">
        <v>38</v>
      </c>
      <c r="G50">
        <v>10000</v>
      </c>
      <c r="H50">
        <v>100</v>
      </c>
      <c r="I50">
        <v>2.0499999999999998</v>
      </c>
      <c r="J50">
        <v>2.0499999999999998</v>
      </c>
      <c r="K50">
        <v>0.4</v>
      </c>
    </row>
    <row r="51" spans="1:12" x14ac:dyDescent="0.25">
      <c r="A51" t="s">
        <v>85</v>
      </c>
      <c r="B51" t="s">
        <v>70</v>
      </c>
      <c r="C51" s="2" t="s">
        <v>104</v>
      </c>
      <c r="D51" s="5" t="s">
        <v>105</v>
      </c>
      <c r="E51" t="s">
        <v>36</v>
      </c>
      <c r="F51" t="s">
        <v>38</v>
      </c>
      <c r="G51">
        <v>10000</v>
      </c>
      <c r="H51">
        <v>100</v>
      </c>
      <c r="I51">
        <v>2.0499999999999998</v>
      </c>
      <c r="J51">
        <v>2.0499999999999998</v>
      </c>
      <c r="K51">
        <v>0.4</v>
      </c>
    </row>
    <row r="52" spans="1:12" x14ac:dyDescent="0.25">
      <c r="A52" t="s">
        <v>85</v>
      </c>
      <c r="B52" t="s">
        <v>70</v>
      </c>
      <c r="C52" t="s">
        <v>86</v>
      </c>
      <c r="D52" t="s">
        <v>91</v>
      </c>
      <c r="E52" t="s">
        <v>107</v>
      </c>
      <c r="F52" t="s">
        <v>52</v>
      </c>
      <c r="G52">
        <v>1000</v>
      </c>
      <c r="H52">
        <v>24</v>
      </c>
      <c r="I52">
        <v>2</v>
      </c>
      <c r="J52">
        <v>2</v>
      </c>
      <c r="K52">
        <v>0.5</v>
      </c>
      <c r="L52" t="s">
        <v>352</v>
      </c>
    </row>
    <row r="53" spans="1:12" x14ac:dyDescent="0.25">
      <c r="A53" t="s">
        <v>85</v>
      </c>
      <c r="B53" t="s">
        <v>70</v>
      </c>
      <c r="C53" t="s">
        <v>87</v>
      </c>
      <c r="D53" t="s">
        <v>92</v>
      </c>
      <c r="E53" t="s">
        <v>107</v>
      </c>
      <c r="F53" t="s">
        <v>52</v>
      </c>
      <c r="G53">
        <v>2000</v>
      </c>
      <c r="H53">
        <v>24</v>
      </c>
      <c r="I53">
        <v>1.5</v>
      </c>
      <c r="J53">
        <v>2.5</v>
      </c>
      <c r="K53">
        <v>0.6</v>
      </c>
      <c r="L53" t="s">
        <v>353</v>
      </c>
    </row>
    <row r="54" spans="1:12" x14ac:dyDescent="0.25">
      <c r="A54" t="s">
        <v>85</v>
      </c>
      <c r="B54" t="s">
        <v>70</v>
      </c>
      <c r="C54" t="s">
        <v>88</v>
      </c>
      <c r="D54" s="5" t="s">
        <v>93</v>
      </c>
      <c r="E54" t="s">
        <v>107</v>
      </c>
      <c r="F54" t="s">
        <v>52</v>
      </c>
      <c r="G54">
        <v>1000</v>
      </c>
      <c r="H54">
        <v>500</v>
      </c>
      <c r="I54">
        <v>2</v>
      </c>
      <c r="J54">
        <v>2</v>
      </c>
      <c r="K54">
        <v>0.5</v>
      </c>
      <c r="L54" t="s">
        <v>354</v>
      </c>
    </row>
    <row r="55" spans="1:12" x14ac:dyDescent="0.25">
      <c r="A55" t="s">
        <v>85</v>
      </c>
      <c r="B55" t="s">
        <v>70</v>
      </c>
      <c r="C55" t="s">
        <v>89</v>
      </c>
      <c r="D55" s="5" t="s">
        <v>94</v>
      </c>
      <c r="E55" t="s">
        <v>107</v>
      </c>
      <c r="F55" t="s">
        <v>52</v>
      </c>
      <c r="G55">
        <v>10000</v>
      </c>
      <c r="H55">
        <v>50</v>
      </c>
      <c r="I55">
        <v>2</v>
      </c>
      <c r="J55">
        <v>2</v>
      </c>
      <c r="K55">
        <v>0.5</v>
      </c>
      <c r="L55" t="s">
        <v>355</v>
      </c>
    </row>
    <row r="56" spans="1:12" x14ac:dyDescent="0.25">
      <c r="A56" t="s">
        <v>85</v>
      </c>
      <c r="B56" t="s">
        <v>70</v>
      </c>
      <c r="C56" t="s">
        <v>90</v>
      </c>
      <c r="D56" s="5" t="s">
        <v>95</v>
      </c>
      <c r="E56" t="s">
        <v>107</v>
      </c>
      <c r="F56" t="s">
        <v>52</v>
      </c>
      <c r="G56">
        <v>2500</v>
      </c>
      <c r="H56">
        <v>200</v>
      </c>
      <c r="I56">
        <v>2</v>
      </c>
      <c r="J56">
        <v>2</v>
      </c>
      <c r="K56">
        <v>0.7</v>
      </c>
      <c r="L56" t="s">
        <v>356</v>
      </c>
    </row>
    <row r="57" spans="1:12" x14ac:dyDescent="0.25">
      <c r="A57" t="s">
        <v>85</v>
      </c>
      <c r="B57" t="s">
        <v>70</v>
      </c>
      <c r="C57" t="s">
        <v>96</v>
      </c>
      <c r="D57" s="5" t="s">
        <v>99</v>
      </c>
      <c r="E57" t="s">
        <v>107</v>
      </c>
      <c r="F57" t="s">
        <v>52</v>
      </c>
      <c r="G57">
        <v>350</v>
      </c>
      <c r="H57">
        <v>70</v>
      </c>
      <c r="I57">
        <v>1.8</v>
      </c>
      <c r="J57">
        <v>1.3</v>
      </c>
      <c r="K57">
        <v>0.65</v>
      </c>
      <c r="L57" t="s">
        <v>357</v>
      </c>
    </row>
    <row r="58" spans="1:12" x14ac:dyDescent="0.25">
      <c r="A58" t="s">
        <v>85</v>
      </c>
      <c r="B58" t="s">
        <v>70</v>
      </c>
      <c r="C58" t="s">
        <v>97</v>
      </c>
      <c r="D58" s="5" t="s">
        <v>100</v>
      </c>
      <c r="E58" t="s">
        <v>107</v>
      </c>
      <c r="F58" t="s">
        <v>52</v>
      </c>
      <c r="G58">
        <v>707</v>
      </c>
      <c r="H58">
        <v>70</v>
      </c>
      <c r="I58">
        <v>1.7</v>
      </c>
      <c r="J58">
        <v>1.3</v>
      </c>
      <c r="K58">
        <v>0.6</v>
      </c>
      <c r="L58" t="s">
        <v>358</v>
      </c>
    </row>
    <row r="59" spans="1:12" x14ac:dyDescent="0.25">
      <c r="A59" t="s">
        <v>85</v>
      </c>
      <c r="B59" t="s">
        <v>70</v>
      </c>
      <c r="C59" t="s">
        <v>98</v>
      </c>
      <c r="D59" s="5" t="s">
        <v>101</v>
      </c>
      <c r="E59" t="s">
        <v>107</v>
      </c>
      <c r="F59" t="s">
        <v>52</v>
      </c>
      <c r="G59">
        <v>500</v>
      </c>
      <c r="H59">
        <v>400</v>
      </c>
      <c r="I59">
        <v>2</v>
      </c>
      <c r="J59">
        <v>2</v>
      </c>
      <c r="K59">
        <v>0.6</v>
      </c>
      <c r="L59" t="s">
        <v>359</v>
      </c>
    </row>
    <row r="60" spans="1:12" x14ac:dyDescent="0.25">
      <c r="A60" t="s">
        <v>85</v>
      </c>
      <c r="B60" t="s">
        <v>70</v>
      </c>
      <c r="C60" t="s">
        <v>102</v>
      </c>
      <c r="D60" s="5" t="s">
        <v>103</v>
      </c>
      <c r="E60" t="s">
        <v>107</v>
      </c>
      <c r="F60" t="s">
        <v>52</v>
      </c>
      <c r="G60">
        <v>2000</v>
      </c>
      <c r="H60">
        <v>50</v>
      </c>
      <c r="I60">
        <v>2</v>
      </c>
      <c r="J60">
        <v>2</v>
      </c>
      <c r="K60">
        <v>0.6</v>
      </c>
      <c r="L60" t="s">
        <v>360</v>
      </c>
    </row>
    <row r="61" spans="1:12" x14ac:dyDescent="0.25">
      <c r="A61" t="s">
        <v>85</v>
      </c>
      <c r="B61" t="s">
        <v>70</v>
      </c>
      <c r="C61" t="s">
        <v>104</v>
      </c>
      <c r="D61" s="5" t="s">
        <v>105</v>
      </c>
      <c r="E61" t="s">
        <v>107</v>
      </c>
      <c r="F61" t="s">
        <v>52</v>
      </c>
      <c r="G61">
        <v>10000</v>
      </c>
      <c r="H61">
        <v>74</v>
      </c>
      <c r="I61">
        <v>2</v>
      </c>
      <c r="J61">
        <v>2</v>
      </c>
      <c r="K61">
        <v>0.5</v>
      </c>
      <c r="L61" t="s">
        <v>361</v>
      </c>
    </row>
    <row r="62" spans="1:12" x14ac:dyDescent="0.25">
      <c r="A62" t="s">
        <v>85</v>
      </c>
      <c r="B62" t="s">
        <v>70</v>
      </c>
      <c r="C62" t="s">
        <v>86</v>
      </c>
      <c r="D62" t="s">
        <v>91</v>
      </c>
      <c r="E62" t="s">
        <v>109</v>
      </c>
      <c r="F62" t="s">
        <v>52</v>
      </c>
      <c r="G62">
        <v>1500</v>
      </c>
      <c r="H62">
        <v>20</v>
      </c>
      <c r="I62">
        <v>1.5</v>
      </c>
      <c r="J62">
        <v>2.5</v>
      </c>
      <c r="K62">
        <v>0.7</v>
      </c>
      <c r="L62" t="s">
        <v>362</v>
      </c>
    </row>
    <row r="63" spans="1:12" x14ac:dyDescent="0.25">
      <c r="A63" t="s">
        <v>85</v>
      </c>
      <c r="B63" t="s">
        <v>70</v>
      </c>
      <c r="C63" t="s">
        <v>87</v>
      </c>
      <c r="D63" t="s">
        <v>92</v>
      </c>
      <c r="E63" t="s">
        <v>109</v>
      </c>
      <c r="F63" t="s">
        <v>52</v>
      </c>
      <c r="G63">
        <v>5000</v>
      </c>
      <c r="H63">
        <v>100</v>
      </c>
      <c r="I63">
        <v>1.8</v>
      </c>
      <c r="J63">
        <v>1.8</v>
      </c>
      <c r="K63">
        <v>0.6</v>
      </c>
      <c r="L63" t="s">
        <v>363</v>
      </c>
    </row>
    <row r="64" spans="1:12" x14ac:dyDescent="0.25">
      <c r="A64" t="s">
        <v>85</v>
      </c>
      <c r="B64" t="s">
        <v>70</v>
      </c>
      <c r="C64" t="s">
        <v>88</v>
      </c>
      <c r="D64" s="5" t="s">
        <v>93</v>
      </c>
      <c r="E64" t="s">
        <v>109</v>
      </c>
      <c r="F64" t="s">
        <v>52</v>
      </c>
      <c r="G64">
        <v>500</v>
      </c>
      <c r="H64">
        <v>100</v>
      </c>
      <c r="I64">
        <v>2</v>
      </c>
      <c r="J64">
        <v>2</v>
      </c>
      <c r="K64">
        <v>0.6</v>
      </c>
      <c r="L64" t="s">
        <v>364</v>
      </c>
    </row>
    <row r="65" spans="1:12" x14ac:dyDescent="0.25">
      <c r="A65" t="s">
        <v>85</v>
      </c>
      <c r="B65" t="s">
        <v>70</v>
      </c>
      <c r="C65" t="s">
        <v>89</v>
      </c>
      <c r="D65" s="5" t="s">
        <v>94</v>
      </c>
      <c r="E65" t="s">
        <v>109</v>
      </c>
      <c r="F65" t="s">
        <v>52</v>
      </c>
      <c r="G65">
        <v>5000</v>
      </c>
      <c r="H65">
        <v>500</v>
      </c>
      <c r="I65">
        <v>2</v>
      </c>
      <c r="J65">
        <v>2</v>
      </c>
      <c r="K65">
        <v>0.5</v>
      </c>
      <c r="L65" t="s">
        <v>365</v>
      </c>
    </row>
    <row r="66" spans="1:12" x14ac:dyDescent="0.25">
      <c r="A66" t="s">
        <v>85</v>
      </c>
      <c r="B66" t="s">
        <v>70</v>
      </c>
      <c r="C66" t="s">
        <v>90</v>
      </c>
      <c r="D66" s="5" t="s">
        <v>95</v>
      </c>
      <c r="E66" t="s">
        <v>109</v>
      </c>
      <c r="F66" t="s">
        <v>52</v>
      </c>
      <c r="G66">
        <v>5000</v>
      </c>
      <c r="H66">
        <v>200</v>
      </c>
      <c r="I66">
        <v>1.5</v>
      </c>
      <c r="J66">
        <v>1.5</v>
      </c>
      <c r="K66">
        <v>0.6</v>
      </c>
      <c r="L66" t="s">
        <v>366</v>
      </c>
    </row>
    <row r="67" spans="1:12" x14ac:dyDescent="0.25">
      <c r="A67" t="s">
        <v>85</v>
      </c>
      <c r="B67" t="s">
        <v>70</v>
      </c>
      <c r="C67" t="s">
        <v>96</v>
      </c>
      <c r="D67" s="5" t="s">
        <v>99</v>
      </c>
      <c r="E67" t="s">
        <v>109</v>
      </c>
      <c r="F67" t="s">
        <v>52</v>
      </c>
      <c r="G67">
        <v>300</v>
      </c>
      <c r="H67">
        <v>82</v>
      </c>
      <c r="I67">
        <v>2</v>
      </c>
      <c r="J67">
        <v>2</v>
      </c>
      <c r="K67">
        <v>0.7</v>
      </c>
      <c r="L67" t="s">
        <v>367</v>
      </c>
    </row>
    <row r="68" spans="1:12" x14ac:dyDescent="0.25">
      <c r="A68" t="s">
        <v>85</v>
      </c>
      <c r="B68" t="s">
        <v>70</v>
      </c>
      <c r="C68" t="s">
        <v>97</v>
      </c>
      <c r="D68" s="5" t="s">
        <v>100</v>
      </c>
      <c r="E68" t="s">
        <v>109</v>
      </c>
      <c r="F68" t="s">
        <v>52</v>
      </c>
      <c r="G68">
        <v>500</v>
      </c>
      <c r="H68">
        <v>100</v>
      </c>
      <c r="I68">
        <v>1.5</v>
      </c>
      <c r="J68">
        <v>1.5</v>
      </c>
      <c r="K68">
        <v>0.6</v>
      </c>
      <c r="L68" t="s">
        <v>368</v>
      </c>
    </row>
    <row r="69" spans="1:12" x14ac:dyDescent="0.25">
      <c r="A69" t="s">
        <v>85</v>
      </c>
      <c r="B69" t="s">
        <v>70</v>
      </c>
      <c r="C69" t="s">
        <v>98</v>
      </c>
      <c r="D69" s="5" t="s">
        <v>101</v>
      </c>
      <c r="E69" t="s">
        <v>109</v>
      </c>
      <c r="F69" t="s">
        <v>52</v>
      </c>
      <c r="G69">
        <v>2000</v>
      </c>
      <c r="H69">
        <v>24</v>
      </c>
      <c r="I69">
        <v>2</v>
      </c>
      <c r="J69">
        <v>2.5</v>
      </c>
      <c r="K69">
        <v>0.6</v>
      </c>
      <c r="L69" t="s">
        <v>369</v>
      </c>
    </row>
    <row r="70" spans="1:12" x14ac:dyDescent="0.25">
      <c r="A70" t="s">
        <v>85</v>
      </c>
      <c r="B70" t="s">
        <v>70</v>
      </c>
      <c r="C70" t="s">
        <v>102</v>
      </c>
      <c r="D70" s="5" t="s">
        <v>103</v>
      </c>
      <c r="E70" t="s">
        <v>109</v>
      </c>
      <c r="F70" t="s">
        <v>52</v>
      </c>
      <c r="G70">
        <v>5000</v>
      </c>
      <c r="H70">
        <v>100</v>
      </c>
      <c r="I70">
        <v>2</v>
      </c>
      <c r="J70">
        <v>2</v>
      </c>
      <c r="K70">
        <v>0.6</v>
      </c>
      <c r="L70" t="s">
        <v>370</v>
      </c>
    </row>
    <row r="71" spans="1:12" x14ac:dyDescent="0.25">
      <c r="A71" t="s">
        <v>85</v>
      </c>
      <c r="B71" t="s">
        <v>70</v>
      </c>
      <c r="C71" t="s">
        <v>104</v>
      </c>
      <c r="D71" s="5" t="s">
        <v>105</v>
      </c>
      <c r="E71" t="s">
        <v>109</v>
      </c>
      <c r="F71" t="s">
        <v>52</v>
      </c>
      <c r="G71">
        <v>7500</v>
      </c>
      <c r="H71">
        <v>32</v>
      </c>
      <c r="I71">
        <v>2</v>
      </c>
      <c r="J71">
        <v>2</v>
      </c>
      <c r="K71">
        <v>0.4</v>
      </c>
      <c r="L71" t="s">
        <v>371</v>
      </c>
    </row>
    <row r="72" spans="1:12" x14ac:dyDescent="0.25">
      <c r="A72" t="s">
        <v>85</v>
      </c>
      <c r="B72" t="s">
        <v>70</v>
      </c>
      <c r="C72" t="s">
        <v>86</v>
      </c>
      <c r="D72" t="s">
        <v>91</v>
      </c>
      <c r="E72" t="s">
        <v>8</v>
      </c>
      <c r="F72" t="s">
        <v>52</v>
      </c>
      <c r="G72">
        <v>400</v>
      </c>
      <c r="H72">
        <v>24</v>
      </c>
      <c r="I72">
        <v>2</v>
      </c>
      <c r="J72">
        <v>2</v>
      </c>
      <c r="K72">
        <v>0.6</v>
      </c>
      <c r="L72" t="s">
        <v>372</v>
      </c>
    </row>
    <row r="73" spans="1:12" x14ac:dyDescent="0.25">
      <c r="A73" t="s">
        <v>85</v>
      </c>
      <c r="B73" t="s">
        <v>70</v>
      </c>
      <c r="C73" t="s">
        <v>87</v>
      </c>
      <c r="D73" t="s">
        <v>92</v>
      </c>
      <c r="E73" t="s">
        <v>8</v>
      </c>
      <c r="F73" t="s">
        <v>52</v>
      </c>
      <c r="G73">
        <v>400</v>
      </c>
      <c r="H73">
        <v>24</v>
      </c>
      <c r="I73">
        <v>2</v>
      </c>
      <c r="J73">
        <v>2</v>
      </c>
      <c r="K73">
        <v>0.6</v>
      </c>
      <c r="L73" t="s">
        <v>373</v>
      </c>
    </row>
    <row r="74" spans="1:12" x14ac:dyDescent="0.25">
      <c r="A74" t="s">
        <v>85</v>
      </c>
      <c r="B74" t="s">
        <v>70</v>
      </c>
      <c r="C74" t="s">
        <v>88</v>
      </c>
      <c r="D74" s="5" t="s">
        <v>93</v>
      </c>
      <c r="E74" t="s">
        <v>8</v>
      </c>
      <c r="F74" t="s">
        <v>52</v>
      </c>
      <c r="G74">
        <v>400</v>
      </c>
      <c r="H74">
        <v>24</v>
      </c>
      <c r="I74">
        <v>2</v>
      </c>
      <c r="J74">
        <v>2</v>
      </c>
      <c r="K74">
        <v>0.6</v>
      </c>
      <c r="L74" t="s">
        <v>374</v>
      </c>
    </row>
    <row r="75" spans="1:12" x14ac:dyDescent="0.25">
      <c r="A75" t="s">
        <v>85</v>
      </c>
      <c r="B75" t="s">
        <v>70</v>
      </c>
      <c r="C75" t="s">
        <v>89</v>
      </c>
      <c r="D75" s="5" t="s">
        <v>94</v>
      </c>
      <c r="E75" t="s">
        <v>8</v>
      </c>
      <c r="F75" t="s">
        <v>52</v>
      </c>
      <c r="G75">
        <v>400</v>
      </c>
      <c r="H75">
        <v>24</v>
      </c>
      <c r="I75">
        <v>2</v>
      </c>
      <c r="J75">
        <v>1.5</v>
      </c>
      <c r="K75">
        <v>0.6</v>
      </c>
      <c r="L75" t="s">
        <v>375</v>
      </c>
    </row>
    <row r="76" spans="1:12" x14ac:dyDescent="0.25">
      <c r="A76" t="s">
        <v>85</v>
      </c>
      <c r="B76" t="s">
        <v>70</v>
      </c>
      <c r="C76" t="s">
        <v>90</v>
      </c>
      <c r="D76" s="5" t="s">
        <v>95</v>
      </c>
      <c r="E76" t="s">
        <v>8</v>
      </c>
      <c r="F76" t="s">
        <v>52</v>
      </c>
      <c r="G76">
        <v>200</v>
      </c>
      <c r="H76">
        <v>24</v>
      </c>
      <c r="I76">
        <v>2</v>
      </c>
      <c r="J76">
        <v>2</v>
      </c>
      <c r="K76">
        <v>0.6</v>
      </c>
      <c r="L76" t="s">
        <v>376</v>
      </c>
    </row>
    <row r="77" spans="1:12" x14ac:dyDescent="0.25">
      <c r="A77" t="s">
        <v>85</v>
      </c>
      <c r="B77" t="s">
        <v>70</v>
      </c>
      <c r="C77" t="s">
        <v>96</v>
      </c>
      <c r="D77" s="5" t="s">
        <v>99</v>
      </c>
      <c r="E77" t="s">
        <v>8</v>
      </c>
      <c r="F77" t="s">
        <v>52</v>
      </c>
      <c r="G77">
        <v>50</v>
      </c>
      <c r="H77">
        <v>100</v>
      </c>
      <c r="I77">
        <v>2.5</v>
      </c>
      <c r="J77">
        <v>1.5</v>
      </c>
      <c r="K77">
        <v>0.6</v>
      </c>
      <c r="L77" t="s">
        <v>377</v>
      </c>
    </row>
    <row r="78" spans="1:12" x14ac:dyDescent="0.25">
      <c r="A78" t="s">
        <v>85</v>
      </c>
      <c r="B78" t="s">
        <v>70</v>
      </c>
      <c r="C78" t="s">
        <v>97</v>
      </c>
      <c r="D78" s="5" t="s">
        <v>100</v>
      </c>
      <c r="E78" t="s">
        <v>8</v>
      </c>
      <c r="F78" t="s">
        <v>52</v>
      </c>
      <c r="G78">
        <v>400</v>
      </c>
      <c r="H78">
        <v>24</v>
      </c>
      <c r="I78">
        <v>2.5</v>
      </c>
      <c r="J78">
        <v>1.5</v>
      </c>
      <c r="K78">
        <v>0.7</v>
      </c>
      <c r="L78" t="s">
        <v>378</v>
      </c>
    </row>
    <row r="79" spans="1:12" x14ac:dyDescent="0.25">
      <c r="A79" t="s">
        <v>85</v>
      </c>
      <c r="B79" t="s">
        <v>70</v>
      </c>
      <c r="C79" t="s">
        <v>98</v>
      </c>
      <c r="D79" s="5" t="s">
        <v>101</v>
      </c>
      <c r="E79" t="s">
        <v>8</v>
      </c>
      <c r="F79" t="s">
        <v>52</v>
      </c>
      <c r="G79">
        <v>400</v>
      </c>
      <c r="H79">
        <v>24</v>
      </c>
      <c r="I79">
        <v>2</v>
      </c>
      <c r="J79">
        <v>1.5</v>
      </c>
      <c r="K79">
        <v>0.6</v>
      </c>
      <c r="L79" t="s">
        <v>379</v>
      </c>
    </row>
    <row r="80" spans="1:12" x14ac:dyDescent="0.25">
      <c r="A80" t="s">
        <v>85</v>
      </c>
      <c r="B80" t="s">
        <v>70</v>
      </c>
      <c r="C80" t="s">
        <v>102</v>
      </c>
      <c r="D80" s="5" t="s">
        <v>103</v>
      </c>
      <c r="E80" t="s">
        <v>8</v>
      </c>
      <c r="F80" t="s">
        <v>52</v>
      </c>
      <c r="G80">
        <v>400</v>
      </c>
      <c r="H80">
        <v>24</v>
      </c>
      <c r="I80">
        <v>2</v>
      </c>
      <c r="J80">
        <v>2</v>
      </c>
      <c r="K80">
        <v>0.6</v>
      </c>
      <c r="L80" t="s">
        <v>380</v>
      </c>
    </row>
    <row r="81" spans="1:12" x14ac:dyDescent="0.25">
      <c r="A81" t="s">
        <v>85</v>
      </c>
      <c r="B81" t="s">
        <v>70</v>
      </c>
      <c r="C81" t="s">
        <v>104</v>
      </c>
      <c r="D81" s="5" t="s">
        <v>105</v>
      </c>
      <c r="E81" t="s">
        <v>8</v>
      </c>
      <c r="F81" t="s">
        <v>52</v>
      </c>
      <c r="G81">
        <v>400</v>
      </c>
      <c r="H81">
        <v>24</v>
      </c>
      <c r="I81">
        <v>2.5</v>
      </c>
      <c r="J81">
        <v>1.5</v>
      </c>
      <c r="K81">
        <v>0.6</v>
      </c>
      <c r="L81" t="s">
        <v>381</v>
      </c>
    </row>
    <row r="82" spans="1:12" x14ac:dyDescent="0.25">
      <c r="A82" t="s">
        <v>85</v>
      </c>
      <c r="B82" t="s">
        <v>70</v>
      </c>
      <c r="C82" t="s">
        <v>86</v>
      </c>
      <c r="D82" t="s">
        <v>91</v>
      </c>
      <c r="E82" t="s">
        <v>110</v>
      </c>
      <c r="F82" t="s">
        <v>52</v>
      </c>
      <c r="G82">
        <v>1000</v>
      </c>
      <c r="H82">
        <v>24</v>
      </c>
      <c r="I82">
        <v>2</v>
      </c>
      <c r="J82">
        <v>2</v>
      </c>
      <c r="K82">
        <v>0.6</v>
      </c>
      <c r="L82" t="s">
        <v>382</v>
      </c>
    </row>
    <row r="83" spans="1:12" x14ac:dyDescent="0.25">
      <c r="A83" t="s">
        <v>85</v>
      </c>
      <c r="B83" t="s">
        <v>70</v>
      </c>
      <c r="C83" t="s">
        <v>87</v>
      </c>
      <c r="D83" t="s">
        <v>92</v>
      </c>
      <c r="E83" t="s">
        <v>110</v>
      </c>
      <c r="F83" t="s">
        <v>52</v>
      </c>
      <c r="G83">
        <v>500</v>
      </c>
      <c r="H83">
        <v>100</v>
      </c>
      <c r="I83">
        <v>2</v>
      </c>
      <c r="J83">
        <v>2</v>
      </c>
      <c r="K83">
        <v>0.5</v>
      </c>
      <c r="L83" t="s">
        <v>383</v>
      </c>
    </row>
    <row r="84" spans="1:12" x14ac:dyDescent="0.25">
      <c r="A84" t="s">
        <v>85</v>
      </c>
      <c r="B84" t="s">
        <v>70</v>
      </c>
      <c r="C84" t="s">
        <v>88</v>
      </c>
      <c r="D84" s="5" t="s">
        <v>93</v>
      </c>
      <c r="E84" t="s">
        <v>110</v>
      </c>
      <c r="F84" t="s">
        <v>52</v>
      </c>
      <c r="G84">
        <v>2000</v>
      </c>
      <c r="H84">
        <v>24</v>
      </c>
      <c r="I84">
        <v>2</v>
      </c>
      <c r="J84">
        <v>2</v>
      </c>
      <c r="K84">
        <v>0.9</v>
      </c>
      <c r="L84" t="s">
        <v>384</v>
      </c>
    </row>
    <row r="85" spans="1:12" x14ac:dyDescent="0.25">
      <c r="A85" t="s">
        <v>85</v>
      </c>
      <c r="B85" t="s">
        <v>70</v>
      </c>
      <c r="C85" t="s">
        <v>89</v>
      </c>
      <c r="D85" s="5" t="s">
        <v>94</v>
      </c>
      <c r="E85" t="s">
        <v>110</v>
      </c>
      <c r="F85" t="s">
        <v>52</v>
      </c>
      <c r="G85">
        <v>500</v>
      </c>
      <c r="H85">
        <v>100</v>
      </c>
      <c r="I85">
        <v>2</v>
      </c>
      <c r="J85">
        <v>2</v>
      </c>
      <c r="K85">
        <v>0.5</v>
      </c>
      <c r="L85" t="s">
        <v>385</v>
      </c>
    </row>
    <row r="86" spans="1:12" x14ac:dyDescent="0.25">
      <c r="A86" t="s">
        <v>85</v>
      </c>
      <c r="B86" t="s">
        <v>70</v>
      </c>
      <c r="C86" t="s">
        <v>90</v>
      </c>
      <c r="D86" s="5" t="s">
        <v>95</v>
      </c>
      <c r="E86" t="s">
        <v>110</v>
      </c>
      <c r="F86" t="s">
        <v>52</v>
      </c>
      <c r="G86">
        <v>500</v>
      </c>
      <c r="H86">
        <v>100</v>
      </c>
      <c r="I86">
        <v>2</v>
      </c>
      <c r="J86">
        <v>2</v>
      </c>
      <c r="K86">
        <v>0.5</v>
      </c>
      <c r="L86" t="s">
        <v>386</v>
      </c>
    </row>
    <row r="87" spans="1:12" x14ac:dyDescent="0.25">
      <c r="A87" t="s">
        <v>85</v>
      </c>
      <c r="B87" t="s">
        <v>70</v>
      </c>
      <c r="C87" t="s">
        <v>96</v>
      </c>
      <c r="D87" s="5" t="s">
        <v>99</v>
      </c>
      <c r="E87" t="s">
        <v>110</v>
      </c>
      <c r="F87" t="s">
        <v>52</v>
      </c>
      <c r="G87">
        <v>2500</v>
      </c>
      <c r="H87">
        <v>100</v>
      </c>
      <c r="I87">
        <v>2</v>
      </c>
      <c r="J87">
        <v>2</v>
      </c>
      <c r="K87">
        <v>0.6</v>
      </c>
      <c r="L87" t="s">
        <v>387</v>
      </c>
    </row>
    <row r="88" spans="1:12" x14ac:dyDescent="0.25">
      <c r="A88" t="s">
        <v>85</v>
      </c>
      <c r="B88" t="s">
        <v>70</v>
      </c>
      <c r="C88" t="s">
        <v>97</v>
      </c>
      <c r="D88" s="5" t="s">
        <v>100</v>
      </c>
      <c r="E88" t="s">
        <v>110</v>
      </c>
      <c r="F88" t="s">
        <v>52</v>
      </c>
      <c r="G88">
        <v>2500</v>
      </c>
      <c r="H88">
        <v>100</v>
      </c>
      <c r="I88">
        <v>2</v>
      </c>
      <c r="J88">
        <v>2</v>
      </c>
      <c r="K88">
        <v>0.5</v>
      </c>
      <c r="L88" t="s">
        <v>388</v>
      </c>
    </row>
    <row r="89" spans="1:12" x14ac:dyDescent="0.25">
      <c r="A89" t="s">
        <v>85</v>
      </c>
      <c r="B89" t="s">
        <v>70</v>
      </c>
      <c r="C89" t="s">
        <v>98</v>
      </c>
      <c r="D89" s="5" t="s">
        <v>101</v>
      </c>
      <c r="E89" t="s">
        <v>110</v>
      </c>
      <c r="F89" t="s">
        <v>52</v>
      </c>
      <c r="G89">
        <v>1000</v>
      </c>
      <c r="H89">
        <v>100</v>
      </c>
      <c r="I89">
        <v>1.5</v>
      </c>
      <c r="J89">
        <v>1.5</v>
      </c>
      <c r="K89">
        <v>0.6</v>
      </c>
      <c r="L89" t="s">
        <v>389</v>
      </c>
    </row>
    <row r="90" spans="1:12" x14ac:dyDescent="0.25">
      <c r="A90" t="s">
        <v>85</v>
      </c>
      <c r="B90" t="s">
        <v>70</v>
      </c>
      <c r="C90" t="s">
        <v>102</v>
      </c>
      <c r="D90" s="5" t="s">
        <v>103</v>
      </c>
      <c r="E90" t="s">
        <v>110</v>
      </c>
      <c r="F90" t="s">
        <v>52</v>
      </c>
      <c r="G90">
        <v>500</v>
      </c>
      <c r="H90">
        <v>200</v>
      </c>
      <c r="I90">
        <v>2</v>
      </c>
      <c r="J90">
        <v>2</v>
      </c>
      <c r="K90">
        <v>0.6</v>
      </c>
      <c r="L90" t="s">
        <v>390</v>
      </c>
    </row>
    <row r="91" spans="1:12" x14ac:dyDescent="0.25">
      <c r="A91" t="s">
        <v>85</v>
      </c>
      <c r="B91" t="s">
        <v>70</v>
      </c>
      <c r="C91" t="s">
        <v>104</v>
      </c>
      <c r="D91" s="5" t="s">
        <v>105</v>
      </c>
      <c r="E91" t="s">
        <v>110</v>
      </c>
      <c r="F91" t="s">
        <v>52</v>
      </c>
      <c r="G91">
        <v>500</v>
      </c>
      <c r="H91">
        <v>100</v>
      </c>
      <c r="I91">
        <v>2</v>
      </c>
      <c r="J91">
        <v>2</v>
      </c>
      <c r="K91">
        <v>0.5</v>
      </c>
      <c r="L91" t="s">
        <v>391</v>
      </c>
    </row>
  </sheetData>
  <phoneticPr fontId="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DB8E-2FF0-3A46-877A-1153653E9C82}">
  <dimension ref="A1:O91"/>
  <sheetViews>
    <sheetView workbookViewId="0">
      <selection activeCell="E13" sqref="E13"/>
    </sheetView>
  </sheetViews>
  <sheetFormatPr defaultColWidth="11" defaultRowHeight="15.75" x14ac:dyDescent="0.25"/>
  <cols>
    <col min="1" max="6" width="11" style="10"/>
    <col min="7" max="7" width="14.5" style="10" bestFit="1" customWidth="1"/>
    <col min="8" max="10" width="11" style="10"/>
    <col min="11" max="11" width="13.375" style="10" bestFit="1" customWidth="1"/>
    <col min="12" max="16384" width="11" style="10"/>
  </cols>
  <sheetData>
    <row r="1" spans="1:15" x14ac:dyDescent="0.25">
      <c r="A1" s="10" t="s">
        <v>0</v>
      </c>
      <c r="B1" s="10" t="s">
        <v>39</v>
      </c>
      <c r="C1" s="10" t="s">
        <v>1</v>
      </c>
      <c r="D1" s="10" t="s">
        <v>108</v>
      </c>
      <c r="E1" s="10" t="s">
        <v>3</v>
      </c>
      <c r="F1" s="10" t="s">
        <v>37</v>
      </c>
      <c r="G1" s="10" t="s">
        <v>40</v>
      </c>
      <c r="H1" s="10" t="s">
        <v>41</v>
      </c>
      <c r="I1" s="10" t="s">
        <v>42</v>
      </c>
      <c r="J1" s="10" t="s">
        <v>43</v>
      </c>
      <c r="K1" s="10" t="s">
        <v>44</v>
      </c>
      <c r="L1" s="10" t="s">
        <v>45</v>
      </c>
      <c r="M1" s="10" t="s">
        <v>46</v>
      </c>
      <c r="N1" s="10" t="s">
        <v>47</v>
      </c>
      <c r="O1" s="10" t="s">
        <v>106</v>
      </c>
    </row>
    <row r="2" spans="1:15" x14ac:dyDescent="0.25">
      <c r="A2" s="10" t="s">
        <v>85</v>
      </c>
      <c r="B2" s="10" t="s">
        <v>67</v>
      </c>
      <c r="C2" s="10" t="s">
        <v>86</v>
      </c>
      <c r="D2" s="10" t="s">
        <v>91</v>
      </c>
      <c r="E2" s="10" t="s">
        <v>107</v>
      </c>
      <c r="F2" s="10" t="s">
        <v>38</v>
      </c>
      <c r="G2" s="10">
        <v>5000</v>
      </c>
      <c r="H2" s="10">
        <v>100</v>
      </c>
      <c r="I2" s="10">
        <v>0.85</v>
      </c>
      <c r="J2" s="10">
        <v>0.1</v>
      </c>
      <c r="K2" s="10" t="s">
        <v>48</v>
      </c>
      <c r="L2" s="10" t="s">
        <v>49</v>
      </c>
      <c r="M2" s="11" t="s">
        <v>50</v>
      </c>
      <c r="N2" s="10" t="s">
        <v>62</v>
      </c>
      <c r="O2" s="10" t="str" cm="1">
        <f t="array" ref="O2">CONCATENATE("I'm using mealpy library to solve Graph Coloring Problem. My problem instance has  ", _xlfn.CHOOSECOLS(_xlfn.TEXTSPLIT(D2," "),1)," nodes and ", _xlfn.CHOOSECOLS(_xlfn.TEXTSPLIT(D2,"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11 nodes and 20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 spans="1:15" x14ac:dyDescent="0.25">
      <c r="A3" s="10" t="s">
        <v>85</v>
      </c>
      <c r="B3" s="10" t="s">
        <v>67</v>
      </c>
      <c r="C3" s="10" t="s">
        <v>87</v>
      </c>
      <c r="D3" s="10" t="s">
        <v>92</v>
      </c>
      <c r="E3" s="10" t="s">
        <v>107</v>
      </c>
      <c r="F3" s="10" t="s">
        <v>38</v>
      </c>
      <c r="G3" s="10">
        <v>500</v>
      </c>
      <c r="H3" s="10">
        <v>50</v>
      </c>
      <c r="I3" s="10">
        <v>0.8</v>
      </c>
      <c r="J3" s="10">
        <v>0.1</v>
      </c>
      <c r="K3" s="10" t="s">
        <v>48</v>
      </c>
      <c r="L3" s="10" t="s">
        <v>49</v>
      </c>
      <c r="M3" s="11" t="s">
        <v>50</v>
      </c>
      <c r="N3" s="10" t="s">
        <v>62</v>
      </c>
      <c r="O3" s="10" t="str" cm="1">
        <f t="array" ref="O3">CONCATENATE("I'm using mealpy library to solve Graph Coloring Problem. My problem instance has  ", _xlfn.CHOOSECOLS(_xlfn.TEXTSPLIT(D3," "),1)," nodes and ", _xlfn.CHOOSECOLS(_xlfn.TEXTSPLIT(D3,"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23 nodes and 71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4" spans="1:15" x14ac:dyDescent="0.25">
      <c r="A4" s="10" t="s">
        <v>85</v>
      </c>
      <c r="B4" s="10" t="s">
        <v>67</v>
      </c>
      <c r="C4" s="10" t="s">
        <v>88</v>
      </c>
      <c r="D4" s="12" t="s">
        <v>93</v>
      </c>
      <c r="E4" s="10" t="s">
        <v>107</v>
      </c>
      <c r="F4" s="10" t="s">
        <v>38</v>
      </c>
      <c r="G4" s="10">
        <v>500</v>
      </c>
      <c r="H4" s="10">
        <v>100</v>
      </c>
      <c r="I4" s="10">
        <v>0.8</v>
      </c>
      <c r="J4" s="10">
        <v>0.15</v>
      </c>
      <c r="K4" s="10" t="s">
        <v>48</v>
      </c>
      <c r="L4" s="10" t="s">
        <v>49</v>
      </c>
      <c r="M4" s="11" t="s">
        <v>50</v>
      </c>
      <c r="N4" s="10" t="s">
        <v>62</v>
      </c>
      <c r="O4" s="10" t="str" cm="1">
        <f t="array" ref="O4">CONCATENATE("I'm using mealpy library to solve Graph Coloring Problem. My problem instance has  ", _xlfn.CHOOSECOLS(_xlfn.TEXTSPLIT(D4," "),1)," nodes and ", _xlfn.CHOOSECOLS(_xlfn.TEXTSPLIT(D4,"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47 nodes and 236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5" spans="1:15" x14ac:dyDescent="0.25">
      <c r="A5" s="10" t="s">
        <v>85</v>
      </c>
      <c r="B5" s="10" t="s">
        <v>67</v>
      </c>
      <c r="C5" s="10" t="s">
        <v>89</v>
      </c>
      <c r="D5" s="12" t="s">
        <v>94</v>
      </c>
      <c r="E5" s="10" t="s">
        <v>107</v>
      </c>
      <c r="F5" s="10" t="s">
        <v>38</v>
      </c>
      <c r="G5" s="10">
        <v>5000</v>
      </c>
      <c r="H5" s="10">
        <v>100</v>
      </c>
      <c r="I5" s="10">
        <v>0.9</v>
      </c>
      <c r="J5" s="10">
        <v>0.05</v>
      </c>
      <c r="K5" s="10" t="s">
        <v>48</v>
      </c>
      <c r="L5" s="10" t="s">
        <v>49</v>
      </c>
      <c r="M5" s="11" t="s">
        <v>50</v>
      </c>
      <c r="N5" s="10" t="s">
        <v>62</v>
      </c>
      <c r="O5" s="10" t="str" cm="1">
        <f t="array" ref="O5">CONCATENATE("I'm using mealpy library to solve Graph Coloring Problem. My problem instance has  ", _xlfn.CHOOSECOLS(_xlfn.TEXTSPLIT(D5," "),1)," nodes and ", _xlfn.CHOOSECOLS(_xlfn.TEXTSPLIT(D5,"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95 nodes and 755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6" spans="1:15" x14ac:dyDescent="0.25">
      <c r="A6" s="10" t="s">
        <v>85</v>
      </c>
      <c r="B6" s="10" t="s">
        <v>67</v>
      </c>
      <c r="C6" s="10" t="s">
        <v>90</v>
      </c>
      <c r="D6" s="12" t="s">
        <v>95</v>
      </c>
      <c r="E6" s="10" t="s">
        <v>107</v>
      </c>
      <c r="F6" s="10" t="s">
        <v>38</v>
      </c>
      <c r="G6" s="10">
        <v>1000</v>
      </c>
      <c r="H6" s="10">
        <v>100</v>
      </c>
      <c r="I6" s="10">
        <v>0.9</v>
      </c>
      <c r="J6" s="10">
        <v>0.1</v>
      </c>
      <c r="K6" s="10" t="s">
        <v>48</v>
      </c>
      <c r="L6" s="10" t="s">
        <v>49</v>
      </c>
      <c r="M6" s="11" t="s">
        <v>50</v>
      </c>
      <c r="N6" s="10" t="s">
        <v>62</v>
      </c>
      <c r="O6" s="10" t="str" cm="1">
        <f t="array" ref="O6">CONCATENATE("I'm using mealpy library to solve Graph Coloring Problem. My problem instance has  ", _xlfn.CHOOSECOLS(_xlfn.TEXTSPLIT(D6," "),1)," nodes and ", _xlfn.CHOOSECOLS(_xlfn.TEXTSPLIT(D6,"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191 nodes and 2360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7" spans="1:15" x14ac:dyDescent="0.25">
      <c r="A7" s="10" t="s">
        <v>85</v>
      </c>
      <c r="B7" s="10" t="s">
        <v>67</v>
      </c>
      <c r="C7" s="10" t="s">
        <v>96</v>
      </c>
      <c r="D7" s="12" t="s">
        <v>99</v>
      </c>
      <c r="E7" s="10" t="s">
        <v>107</v>
      </c>
      <c r="F7" s="10" t="s">
        <v>38</v>
      </c>
      <c r="G7" s="10">
        <v>5000</v>
      </c>
      <c r="H7" s="10">
        <v>50</v>
      </c>
      <c r="I7" s="10">
        <v>0.8</v>
      </c>
      <c r="J7" s="10">
        <v>0.2</v>
      </c>
      <c r="K7" s="10" t="s">
        <v>48</v>
      </c>
      <c r="L7" s="10" t="s">
        <v>49</v>
      </c>
      <c r="M7" s="11" t="s">
        <v>50</v>
      </c>
      <c r="N7" s="10" t="s">
        <v>62</v>
      </c>
      <c r="O7" s="10" t="str" cm="1">
        <f t="array" ref="O7">CONCATENATE("I'm using mealpy library to solve Graph Coloring Problem. My problem instance has  ", _xlfn.CHOOSECOLS(_xlfn.TEXTSPLIT(D7," "),1)," nodes and ", _xlfn.CHOOSECOLS(_xlfn.TEXTSPLIT(D7,"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25 nodes and 160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8" spans="1:15" x14ac:dyDescent="0.25">
      <c r="A8" s="10" t="s">
        <v>85</v>
      </c>
      <c r="B8" s="10" t="s">
        <v>67</v>
      </c>
      <c r="C8" s="10" t="s">
        <v>97</v>
      </c>
      <c r="D8" s="12" t="s">
        <v>100</v>
      </c>
      <c r="E8" s="10" t="s">
        <v>107</v>
      </c>
      <c r="F8" s="10" t="s">
        <v>38</v>
      </c>
      <c r="G8" s="10">
        <v>10000</v>
      </c>
      <c r="H8" s="10">
        <v>100</v>
      </c>
      <c r="I8" s="10">
        <v>0.8</v>
      </c>
      <c r="J8" s="10">
        <v>0.05</v>
      </c>
      <c r="K8" s="10" t="s">
        <v>48</v>
      </c>
      <c r="L8" s="10" t="s">
        <v>49</v>
      </c>
      <c r="M8" s="11" t="s">
        <v>50</v>
      </c>
      <c r="N8" s="10" t="s">
        <v>62</v>
      </c>
      <c r="O8" s="10" t="str" cm="1">
        <f t="array" ref="O8">CONCATENATE("I'm using mealpy library to solve Graph Coloring Problem. My problem instance has  ", _xlfn.CHOOSECOLS(_xlfn.TEXTSPLIT(D8," "),1)," nodes and ", _xlfn.CHOOSECOLS(_xlfn.TEXTSPLIT(D8,"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36 nodes and 290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9" spans="1:15" x14ac:dyDescent="0.25">
      <c r="A9" s="10" t="s">
        <v>85</v>
      </c>
      <c r="B9" s="10" t="s">
        <v>67</v>
      </c>
      <c r="C9" s="10" t="s">
        <v>98</v>
      </c>
      <c r="D9" s="12" t="s">
        <v>101</v>
      </c>
      <c r="E9" s="10" t="s">
        <v>107</v>
      </c>
      <c r="F9" s="10" t="s">
        <v>38</v>
      </c>
      <c r="G9" s="10">
        <v>10000</v>
      </c>
      <c r="H9" s="10">
        <v>100</v>
      </c>
      <c r="I9" s="10">
        <v>0.9</v>
      </c>
      <c r="J9" s="10">
        <v>0.1</v>
      </c>
      <c r="K9" s="10" t="s">
        <v>48</v>
      </c>
      <c r="L9" s="10" t="s">
        <v>49</v>
      </c>
      <c r="M9" s="11" t="s">
        <v>50</v>
      </c>
      <c r="N9" s="10" t="s">
        <v>62</v>
      </c>
      <c r="O9" s="10" t="str" cm="1">
        <f t="array" ref="O9">CONCATENATE("I'm using mealpy library to solve Graph Coloring Problem. My problem instance has  ", _xlfn.CHOOSECOLS(_xlfn.TEXTSPLIT(D9," "),1)," nodes and ", _xlfn.CHOOSECOLS(_xlfn.TEXTSPLIT(D9,"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49 nodes and 476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0" spans="1:15" x14ac:dyDescent="0.25">
      <c r="A10" s="10" t="s">
        <v>85</v>
      </c>
      <c r="B10" s="10" t="s">
        <v>67</v>
      </c>
      <c r="C10" s="10" t="s">
        <v>102</v>
      </c>
      <c r="D10" s="12" t="s">
        <v>103</v>
      </c>
      <c r="E10" s="10" t="s">
        <v>107</v>
      </c>
      <c r="F10" s="10" t="s">
        <v>38</v>
      </c>
      <c r="G10" s="10">
        <v>10000</v>
      </c>
      <c r="H10" s="10">
        <v>100</v>
      </c>
      <c r="I10" s="10">
        <v>0.8</v>
      </c>
      <c r="J10" s="10">
        <v>0.1</v>
      </c>
      <c r="K10" s="10" t="s">
        <v>48</v>
      </c>
      <c r="L10" s="10" t="s">
        <v>49</v>
      </c>
      <c r="M10" s="11" t="s">
        <v>50</v>
      </c>
      <c r="N10" s="10" t="s">
        <v>62</v>
      </c>
      <c r="O10" s="10" t="str" cm="1">
        <f t="array" ref="O10">CONCATENATE("I'm using mealpy library to solve Graph Coloring Problem. My problem instance has  ", _xlfn.CHOOSECOLS(_xlfn.TEXTSPLIT(D10," "),1)," nodes and ", _xlfn.CHOOSECOLS(_xlfn.TEXTSPLIT(D10,"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64 nodes and 728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1" spans="1:15" x14ac:dyDescent="0.25">
      <c r="A11" s="10" t="s">
        <v>85</v>
      </c>
      <c r="B11" s="10" t="s">
        <v>67</v>
      </c>
      <c r="C11" s="10" t="s">
        <v>104</v>
      </c>
      <c r="D11" s="12" t="s">
        <v>105</v>
      </c>
      <c r="E11" s="10" t="s">
        <v>107</v>
      </c>
      <c r="F11" s="10" t="s">
        <v>38</v>
      </c>
      <c r="G11" s="10">
        <v>10000</v>
      </c>
      <c r="H11" s="10">
        <v>150</v>
      </c>
      <c r="I11" s="10">
        <v>0.9</v>
      </c>
      <c r="J11" s="10">
        <v>0.1</v>
      </c>
      <c r="K11" s="10" t="s">
        <v>48</v>
      </c>
      <c r="L11" s="10" t="s">
        <v>49</v>
      </c>
      <c r="M11" s="11" t="s">
        <v>50</v>
      </c>
      <c r="N11" s="10" t="s">
        <v>62</v>
      </c>
      <c r="O11" s="10" t="str" cm="1">
        <f t="array" ref="O11">CONCATENATE("I'm using mealpy library to solve Graph Coloring Problem. My problem instance has  ", _xlfn.CHOOSECOLS(_xlfn.TEXTSPLIT(D11," "),1)," nodes and ", _xlfn.CHOOSECOLS(_xlfn.TEXTSPLIT(D11,"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81 nodes and 2112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2" spans="1:15" x14ac:dyDescent="0.25">
      <c r="A12" s="10" t="s">
        <v>85</v>
      </c>
      <c r="B12" s="10" t="s">
        <v>67</v>
      </c>
      <c r="C12" s="10" t="s">
        <v>86</v>
      </c>
      <c r="D12" s="10" t="s">
        <v>91</v>
      </c>
      <c r="E12" s="10" t="s">
        <v>109</v>
      </c>
      <c r="F12" s="10" t="s">
        <v>38</v>
      </c>
      <c r="G12" s="10">
        <v>5000</v>
      </c>
      <c r="H12" s="10">
        <v>50</v>
      </c>
      <c r="I12" s="10">
        <v>0.8</v>
      </c>
      <c r="J12" s="10">
        <v>0.1</v>
      </c>
      <c r="K12" s="10" t="s">
        <v>48</v>
      </c>
      <c r="L12" s="10" t="s">
        <v>49</v>
      </c>
      <c r="M12" s="11" t="s">
        <v>61</v>
      </c>
      <c r="N12" s="10" t="s">
        <v>62</v>
      </c>
      <c r="O12" s="10" t="str" cm="1">
        <f t="array" ref="O12">CONCATENATE("I'm using mealpy library to solve Graph Coloring Problem. My problem instance has  ", _xlfn.CHOOSECOLS(_xlfn.TEXTSPLIT(D12," "),1)," nodes and ", _xlfn.CHOOSECOLS(_xlfn.TEXTSPLIT(D12,"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11 nodes and 20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3" spans="1:15" x14ac:dyDescent="0.25">
      <c r="A13" s="10" t="s">
        <v>85</v>
      </c>
      <c r="B13" s="10" t="s">
        <v>67</v>
      </c>
      <c r="C13" s="10" t="s">
        <v>87</v>
      </c>
      <c r="D13" s="10" t="s">
        <v>92</v>
      </c>
      <c r="E13" s="10" t="s">
        <v>109</v>
      </c>
      <c r="F13" s="10" t="s">
        <v>38</v>
      </c>
      <c r="G13" s="10">
        <v>1000</v>
      </c>
      <c r="H13" s="10">
        <v>100</v>
      </c>
      <c r="I13" s="10">
        <v>0.8</v>
      </c>
      <c r="J13" s="10">
        <v>0.1</v>
      </c>
      <c r="K13" s="10" t="s">
        <v>48</v>
      </c>
      <c r="L13" s="10" t="s">
        <v>60</v>
      </c>
      <c r="M13" s="11" t="s">
        <v>61</v>
      </c>
      <c r="N13" s="10" t="s">
        <v>62</v>
      </c>
      <c r="O13" s="10" t="str" cm="1">
        <f t="array" ref="O13">CONCATENATE("I'm using mealpy library to solve Graph Coloring Problem. My problem instance has  ", _xlfn.CHOOSECOLS(_xlfn.TEXTSPLIT(D13," "),1)," nodes and ", _xlfn.CHOOSECOLS(_xlfn.TEXTSPLIT(D13,"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23 nodes and 71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4" spans="1:15" x14ac:dyDescent="0.25">
      <c r="A14" s="10" t="s">
        <v>85</v>
      </c>
      <c r="B14" s="10" t="s">
        <v>67</v>
      </c>
      <c r="C14" s="10" t="s">
        <v>88</v>
      </c>
      <c r="D14" s="12" t="s">
        <v>93</v>
      </c>
      <c r="E14" s="10" t="s">
        <v>109</v>
      </c>
      <c r="F14" s="10" t="s">
        <v>38</v>
      </c>
      <c r="G14" s="10">
        <v>5000</v>
      </c>
      <c r="H14" s="10">
        <v>100</v>
      </c>
      <c r="I14" s="10">
        <v>0.8</v>
      </c>
      <c r="J14" s="10">
        <v>0.05</v>
      </c>
      <c r="K14" s="10" t="s">
        <v>48</v>
      </c>
      <c r="L14" s="10" t="s">
        <v>49</v>
      </c>
      <c r="M14" s="11" t="s">
        <v>61</v>
      </c>
      <c r="N14" s="10" t="s">
        <v>62</v>
      </c>
      <c r="O14" s="10" t="str" cm="1">
        <f t="array" ref="O14">CONCATENATE("I'm using mealpy library to solve Graph Coloring Problem. My problem instance has  ", _xlfn.CHOOSECOLS(_xlfn.TEXTSPLIT(D14," "),1)," nodes and ", _xlfn.CHOOSECOLS(_xlfn.TEXTSPLIT(D14,"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47 nodes and 236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5" spans="1:15" x14ac:dyDescent="0.25">
      <c r="A15" s="10" t="s">
        <v>85</v>
      </c>
      <c r="B15" s="10" t="s">
        <v>67</v>
      </c>
      <c r="C15" s="10" t="s">
        <v>89</v>
      </c>
      <c r="D15" s="12" t="s">
        <v>94</v>
      </c>
      <c r="E15" s="10" t="s">
        <v>109</v>
      </c>
      <c r="F15" s="10" t="s">
        <v>38</v>
      </c>
      <c r="G15" s="10">
        <v>500</v>
      </c>
      <c r="H15" s="10">
        <v>100</v>
      </c>
      <c r="I15" s="10">
        <v>0.7</v>
      </c>
      <c r="J15" s="10">
        <v>0.1</v>
      </c>
      <c r="K15" s="10" t="s">
        <v>48</v>
      </c>
      <c r="L15" s="10" t="s">
        <v>63</v>
      </c>
      <c r="M15" s="11" t="s">
        <v>50</v>
      </c>
      <c r="N15" s="10" t="s">
        <v>62</v>
      </c>
      <c r="O15" s="10" t="str" cm="1">
        <f t="array" ref="O15">CONCATENATE("I'm using mealpy library to solve Graph Coloring Problem. My problem instance has  ", _xlfn.CHOOSECOLS(_xlfn.TEXTSPLIT(D15," "),1)," nodes and ", _xlfn.CHOOSECOLS(_xlfn.TEXTSPLIT(D15,"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95 nodes and 755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6" spans="1:15" x14ac:dyDescent="0.25">
      <c r="A16" s="10" t="s">
        <v>85</v>
      </c>
      <c r="B16" s="10" t="s">
        <v>67</v>
      </c>
      <c r="C16" s="10" t="s">
        <v>90</v>
      </c>
      <c r="D16" s="12" t="s">
        <v>95</v>
      </c>
      <c r="E16" s="10" t="s">
        <v>109</v>
      </c>
      <c r="F16" s="10" t="s">
        <v>38</v>
      </c>
      <c r="G16" s="10">
        <v>1000</v>
      </c>
      <c r="H16" s="10">
        <v>100</v>
      </c>
      <c r="I16" s="10">
        <v>0.8</v>
      </c>
      <c r="J16" s="10">
        <v>0.05</v>
      </c>
      <c r="K16" s="10" t="s">
        <v>48</v>
      </c>
      <c r="L16" s="10" t="s">
        <v>60</v>
      </c>
      <c r="M16" s="11" t="s">
        <v>61</v>
      </c>
      <c r="N16" s="10" t="s">
        <v>62</v>
      </c>
      <c r="O16" s="10" t="str" cm="1">
        <f t="array" ref="O16">CONCATENATE("I'm using mealpy library to solve Graph Coloring Problem. My problem instance has  ", _xlfn.CHOOSECOLS(_xlfn.TEXTSPLIT(D16," "),1)," nodes and ", _xlfn.CHOOSECOLS(_xlfn.TEXTSPLIT(D16,"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191 nodes and 2360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7" spans="1:15" x14ac:dyDescent="0.25">
      <c r="A17" s="10" t="s">
        <v>85</v>
      </c>
      <c r="B17" s="10" t="s">
        <v>67</v>
      </c>
      <c r="C17" s="10" t="s">
        <v>96</v>
      </c>
      <c r="D17" s="12" t="s">
        <v>99</v>
      </c>
      <c r="E17" s="10" t="s">
        <v>109</v>
      </c>
      <c r="F17" s="10" t="s">
        <v>38</v>
      </c>
      <c r="G17" s="10">
        <v>50000</v>
      </c>
      <c r="H17" s="10">
        <v>100</v>
      </c>
      <c r="I17" s="10">
        <v>0.8</v>
      </c>
      <c r="J17" s="10">
        <v>0.1</v>
      </c>
      <c r="K17" s="10" t="s">
        <v>48</v>
      </c>
      <c r="L17" s="10" t="s">
        <v>60</v>
      </c>
      <c r="M17" s="11" t="s">
        <v>61</v>
      </c>
      <c r="N17" s="10" t="s">
        <v>62</v>
      </c>
      <c r="O17" s="10" t="str" cm="1">
        <f t="array" ref="O17">CONCATENATE("I'm using mealpy library to solve Graph Coloring Problem. My problem instance has  ", _xlfn.CHOOSECOLS(_xlfn.TEXTSPLIT(D17," "),1)," nodes and ", _xlfn.CHOOSECOLS(_xlfn.TEXTSPLIT(D17,"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25 nodes and 160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8" spans="1:15" x14ac:dyDescent="0.25">
      <c r="A18" s="10" t="s">
        <v>85</v>
      </c>
      <c r="B18" s="10" t="s">
        <v>67</v>
      </c>
      <c r="C18" s="10" t="s">
        <v>97</v>
      </c>
      <c r="D18" s="12" t="s">
        <v>100</v>
      </c>
      <c r="E18" s="10" t="s">
        <v>109</v>
      </c>
      <c r="F18" s="10" t="s">
        <v>38</v>
      </c>
      <c r="G18" s="10">
        <v>1000</v>
      </c>
      <c r="H18" s="10">
        <v>100</v>
      </c>
      <c r="I18" s="10">
        <v>0.8</v>
      </c>
      <c r="J18" s="10">
        <v>0.1</v>
      </c>
      <c r="K18" s="10" t="s">
        <v>48</v>
      </c>
      <c r="L18" s="10" t="s">
        <v>49</v>
      </c>
      <c r="M18" s="11" t="s">
        <v>61</v>
      </c>
      <c r="N18" s="10" t="s">
        <v>62</v>
      </c>
      <c r="O18" s="10" t="str" cm="1">
        <f t="array" ref="O18">CONCATENATE("I'm using mealpy library to solve Graph Coloring Problem. My problem instance has  ", _xlfn.CHOOSECOLS(_xlfn.TEXTSPLIT(D18," "),1)," nodes and ", _xlfn.CHOOSECOLS(_xlfn.TEXTSPLIT(D18,"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36 nodes and 290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19" spans="1:15" x14ac:dyDescent="0.25">
      <c r="A19" s="10" t="s">
        <v>85</v>
      </c>
      <c r="B19" s="10" t="s">
        <v>67</v>
      </c>
      <c r="C19" s="10" t="s">
        <v>98</v>
      </c>
      <c r="D19" s="12" t="s">
        <v>101</v>
      </c>
      <c r="E19" s="10" t="s">
        <v>109</v>
      </c>
      <c r="F19" s="10" t="s">
        <v>38</v>
      </c>
      <c r="G19" s="10">
        <v>1000</v>
      </c>
      <c r="H19" s="10">
        <v>100</v>
      </c>
      <c r="I19" s="10">
        <v>0.8</v>
      </c>
      <c r="J19" s="10">
        <v>0.1</v>
      </c>
      <c r="K19" s="10" t="s">
        <v>48</v>
      </c>
      <c r="L19" s="10" t="s">
        <v>49</v>
      </c>
      <c r="M19" s="11" t="s">
        <v>61</v>
      </c>
      <c r="N19" s="10" t="s">
        <v>62</v>
      </c>
      <c r="O19" s="10" t="str" cm="1">
        <f t="array" ref="O19">CONCATENATE("I'm using mealpy library to solve Graph Coloring Problem. My problem instance has  ", _xlfn.CHOOSECOLS(_xlfn.TEXTSPLIT(D19," "),1)," nodes and ", _xlfn.CHOOSECOLS(_xlfn.TEXTSPLIT(D19,"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49 nodes and 476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0" spans="1:15" x14ac:dyDescent="0.25">
      <c r="A20" s="10" t="s">
        <v>85</v>
      </c>
      <c r="B20" s="10" t="s">
        <v>67</v>
      </c>
      <c r="C20" s="10" t="s">
        <v>102</v>
      </c>
      <c r="D20" s="12" t="s">
        <v>103</v>
      </c>
      <c r="E20" s="10" t="s">
        <v>109</v>
      </c>
      <c r="F20" s="10" t="s">
        <v>38</v>
      </c>
      <c r="G20" s="10">
        <v>5000</v>
      </c>
      <c r="H20" s="10">
        <v>100</v>
      </c>
      <c r="I20" s="10">
        <v>0.8</v>
      </c>
      <c r="J20" s="10">
        <v>0.1</v>
      </c>
      <c r="K20" s="10" t="s">
        <v>48</v>
      </c>
      <c r="L20" s="10" t="s">
        <v>49</v>
      </c>
      <c r="M20" s="11" t="s">
        <v>50</v>
      </c>
      <c r="N20" s="10" t="s">
        <v>62</v>
      </c>
      <c r="O20" s="10" t="str" cm="1">
        <f t="array" ref="O20">CONCATENATE("I'm using mealpy library to solve Graph Coloring Problem. My problem instance has  ", _xlfn.CHOOSECOLS(_xlfn.TEXTSPLIT(D20," "),1)," nodes and ", _xlfn.CHOOSECOLS(_xlfn.TEXTSPLIT(D20,"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64 nodes and 728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1" spans="1:15" x14ac:dyDescent="0.25">
      <c r="A21" s="10" t="s">
        <v>85</v>
      </c>
      <c r="B21" s="10" t="s">
        <v>67</v>
      </c>
      <c r="C21" s="10" t="s">
        <v>104</v>
      </c>
      <c r="D21" s="12" t="s">
        <v>105</v>
      </c>
      <c r="E21" s="10" t="s">
        <v>109</v>
      </c>
      <c r="F21" s="10" t="s">
        <v>38</v>
      </c>
      <c r="G21" s="10">
        <v>10000</v>
      </c>
      <c r="H21" s="10">
        <v>100</v>
      </c>
      <c r="I21" s="10">
        <v>0.8</v>
      </c>
      <c r="J21" s="10">
        <v>0.1</v>
      </c>
      <c r="K21" s="10" t="s">
        <v>48</v>
      </c>
      <c r="L21" s="10" t="s">
        <v>63</v>
      </c>
      <c r="M21" s="11" t="s">
        <v>50</v>
      </c>
      <c r="N21" s="10" t="s">
        <v>62</v>
      </c>
      <c r="O21" s="10" t="str" cm="1">
        <f t="array" ref="O21">CONCATENATE("I'm using mealpy library to solve Graph Coloring Problem. My problem instance has  ", _xlfn.CHOOSECOLS(_xlfn.TEXTSPLIT(D21," "),1)," nodes and ", _xlfn.CHOOSECOLS(_xlfn.TEXTSPLIT(D21,"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81 nodes and 2112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2" spans="1:15" x14ac:dyDescent="0.25">
      <c r="A22" s="10" t="s">
        <v>85</v>
      </c>
      <c r="B22" s="10" t="s">
        <v>67</v>
      </c>
      <c r="C22" s="10" t="s">
        <v>86</v>
      </c>
      <c r="D22" s="10" t="s">
        <v>91</v>
      </c>
      <c r="E22" s="10" t="s">
        <v>8</v>
      </c>
      <c r="F22" s="10" t="s">
        <v>38</v>
      </c>
      <c r="G22" s="10">
        <v>100</v>
      </c>
      <c r="H22" s="10">
        <v>50</v>
      </c>
      <c r="I22" s="10">
        <v>0.9</v>
      </c>
      <c r="J22" s="10">
        <v>0.1</v>
      </c>
      <c r="K22" s="10" t="s">
        <v>48</v>
      </c>
      <c r="L22" s="10" t="s">
        <v>49</v>
      </c>
      <c r="M22" s="11" t="s">
        <v>50</v>
      </c>
      <c r="N22" s="10" t="s">
        <v>62</v>
      </c>
      <c r="O22" s="10" t="str" cm="1">
        <f t="array" ref="O22">CONCATENATE("I'm using mealpy library to solve Graph Coloring Problem. My problem instance has  ", _xlfn.CHOOSECOLS(_xlfn.TEXTSPLIT(D22," "),1)," nodes and ", _xlfn.CHOOSECOLS(_xlfn.TEXTSPLIT(D22,"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11 nodes and 20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3" spans="1:15" x14ac:dyDescent="0.25">
      <c r="A23" s="10" t="s">
        <v>85</v>
      </c>
      <c r="B23" s="10" t="s">
        <v>67</v>
      </c>
      <c r="C23" s="10" t="s">
        <v>87</v>
      </c>
      <c r="D23" s="10" t="s">
        <v>92</v>
      </c>
      <c r="E23" s="10" t="s">
        <v>8</v>
      </c>
      <c r="F23" s="10" t="s">
        <v>38</v>
      </c>
      <c r="G23" s="10">
        <v>100</v>
      </c>
      <c r="H23" s="10">
        <v>50</v>
      </c>
      <c r="I23" s="10">
        <v>0.9</v>
      </c>
      <c r="J23" s="10">
        <v>0.1</v>
      </c>
      <c r="K23" s="10" t="s">
        <v>48</v>
      </c>
      <c r="L23" s="10" t="s">
        <v>63</v>
      </c>
      <c r="M23" s="11" t="s">
        <v>50</v>
      </c>
      <c r="N23" s="10" t="s">
        <v>62</v>
      </c>
      <c r="O23" s="10" t="str" cm="1">
        <f t="array" ref="O23">CONCATENATE("I'm using mealpy library to solve Graph Coloring Problem. My problem instance has  ", _xlfn.CHOOSECOLS(_xlfn.TEXTSPLIT(D23," "),1)," nodes and ", _xlfn.CHOOSECOLS(_xlfn.TEXTSPLIT(D23,"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23 nodes and 71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4" spans="1:15" x14ac:dyDescent="0.25">
      <c r="A24" s="10" t="s">
        <v>85</v>
      </c>
      <c r="B24" s="10" t="s">
        <v>67</v>
      </c>
      <c r="C24" s="10" t="s">
        <v>88</v>
      </c>
      <c r="D24" s="12" t="s">
        <v>93</v>
      </c>
      <c r="E24" s="10" t="s">
        <v>8</v>
      </c>
      <c r="F24" s="10" t="s">
        <v>38</v>
      </c>
      <c r="G24" s="10">
        <v>500</v>
      </c>
      <c r="H24" s="10">
        <v>50</v>
      </c>
      <c r="I24" s="10">
        <v>0.9</v>
      </c>
      <c r="J24" s="10">
        <v>0.05</v>
      </c>
      <c r="K24" s="10" t="s">
        <v>48</v>
      </c>
      <c r="L24" s="10" t="s">
        <v>63</v>
      </c>
      <c r="M24" s="11" t="s">
        <v>50</v>
      </c>
      <c r="N24" s="10" t="s">
        <v>62</v>
      </c>
      <c r="O24" s="10" t="str" cm="1">
        <f t="array" ref="O24">CONCATENATE("I'm using mealpy library to solve Graph Coloring Problem. My problem instance has  ", _xlfn.CHOOSECOLS(_xlfn.TEXTSPLIT(D24," "),1)," nodes and ", _xlfn.CHOOSECOLS(_xlfn.TEXTSPLIT(D24,"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47 nodes and 236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5" spans="1:15" x14ac:dyDescent="0.25">
      <c r="A25" s="10" t="s">
        <v>85</v>
      </c>
      <c r="B25" s="10" t="s">
        <v>67</v>
      </c>
      <c r="C25" s="10" t="s">
        <v>89</v>
      </c>
      <c r="D25" s="12" t="s">
        <v>94</v>
      </c>
      <c r="E25" s="10" t="s">
        <v>8</v>
      </c>
      <c r="F25" s="10" t="s">
        <v>38</v>
      </c>
      <c r="G25" s="10">
        <v>200</v>
      </c>
      <c r="H25" s="10">
        <v>50</v>
      </c>
      <c r="I25" s="10">
        <v>0.9</v>
      </c>
      <c r="J25" s="10">
        <v>0.1</v>
      </c>
      <c r="K25" s="10" t="s">
        <v>48</v>
      </c>
      <c r="L25" s="10" t="s">
        <v>63</v>
      </c>
      <c r="M25" s="11" t="s">
        <v>50</v>
      </c>
      <c r="N25" s="10" t="s">
        <v>62</v>
      </c>
      <c r="O25" s="10" t="str" cm="1">
        <f t="array" ref="O25">CONCATENATE("I'm using mealpy library to solve Graph Coloring Problem. My problem instance has  ", _xlfn.CHOOSECOLS(_xlfn.TEXTSPLIT(D25," "),1)," nodes and ", _xlfn.CHOOSECOLS(_xlfn.TEXTSPLIT(D25,"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95 nodes and 755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6" spans="1:15" x14ac:dyDescent="0.25">
      <c r="A26" s="10" t="s">
        <v>85</v>
      </c>
      <c r="B26" s="10" t="s">
        <v>67</v>
      </c>
      <c r="C26" s="10" t="s">
        <v>90</v>
      </c>
      <c r="D26" s="12" t="s">
        <v>95</v>
      </c>
      <c r="E26" s="10" t="s">
        <v>8</v>
      </c>
      <c r="F26" s="10" t="s">
        <v>38</v>
      </c>
      <c r="G26" s="10">
        <v>200</v>
      </c>
      <c r="H26" s="10">
        <v>50</v>
      </c>
      <c r="I26" s="10">
        <v>0.9</v>
      </c>
      <c r="J26" s="10">
        <v>0.05</v>
      </c>
      <c r="K26" s="10" t="s">
        <v>48</v>
      </c>
      <c r="L26" s="10" t="s">
        <v>49</v>
      </c>
      <c r="M26" s="11" t="s">
        <v>50</v>
      </c>
      <c r="N26" s="10" t="s">
        <v>62</v>
      </c>
      <c r="O26" s="10" t="str" cm="1">
        <f t="array" ref="O26">CONCATENATE("I'm using mealpy library to solve Graph Coloring Problem. My problem instance has  ", _xlfn.CHOOSECOLS(_xlfn.TEXTSPLIT(D26," "),1)," nodes and ", _xlfn.CHOOSECOLS(_xlfn.TEXTSPLIT(D26,"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191 nodes and 2360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7" spans="1:15" x14ac:dyDescent="0.25">
      <c r="A27" s="10" t="s">
        <v>85</v>
      </c>
      <c r="B27" s="10" t="s">
        <v>67</v>
      </c>
      <c r="C27" s="10" t="s">
        <v>96</v>
      </c>
      <c r="D27" s="12" t="s">
        <v>99</v>
      </c>
      <c r="E27" s="10" t="s">
        <v>8</v>
      </c>
      <c r="F27" s="10" t="s">
        <v>38</v>
      </c>
      <c r="G27" s="10">
        <v>500</v>
      </c>
      <c r="H27" s="10">
        <v>50</v>
      </c>
      <c r="I27" s="10">
        <v>0.9</v>
      </c>
      <c r="J27" s="10">
        <v>0.1</v>
      </c>
      <c r="K27" s="10" t="s">
        <v>48</v>
      </c>
      <c r="L27" s="10" t="s">
        <v>63</v>
      </c>
      <c r="M27" s="11" t="s">
        <v>50</v>
      </c>
      <c r="N27" s="10" t="s">
        <v>62</v>
      </c>
      <c r="O27" s="10" t="str" cm="1">
        <f t="array" ref="O27">CONCATENATE("I'm using mealpy library to solve Graph Coloring Problem. My problem instance has  ", _xlfn.CHOOSECOLS(_xlfn.TEXTSPLIT(D27," "),1)," nodes and ", _xlfn.CHOOSECOLS(_xlfn.TEXTSPLIT(D27,"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25 nodes and 160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8" spans="1:15" x14ac:dyDescent="0.25">
      <c r="A28" s="10" t="s">
        <v>85</v>
      </c>
      <c r="B28" s="10" t="s">
        <v>67</v>
      </c>
      <c r="C28" s="10" t="s">
        <v>97</v>
      </c>
      <c r="D28" s="12" t="s">
        <v>100</v>
      </c>
      <c r="E28" s="10" t="s">
        <v>8</v>
      </c>
      <c r="F28" s="10" t="s">
        <v>38</v>
      </c>
      <c r="G28" s="10">
        <v>500</v>
      </c>
      <c r="H28" s="10">
        <v>50</v>
      </c>
      <c r="I28" s="10">
        <v>0.85</v>
      </c>
      <c r="J28" s="10">
        <v>0.05</v>
      </c>
      <c r="K28" s="10" t="s">
        <v>48</v>
      </c>
      <c r="L28" s="10" t="s">
        <v>63</v>
      </c>
      <c r="M28" s="11" t="s">
        <v>50</v>
      </c>
      <c r="N28" s="10" t="s">
        <v>62</v>
      </c>
      <c r="O28" s="10" t="str" cm="1">
        <f t="array" ref="O28">CONCATENATE("I'm using mealpy library to solve Graph Coloring Problem. My problem instance has  ", _xlfn.CHOOSECOLS(_xlfn.TEXTSPLIT(D28," "),1)," nodes and ", _xlfn.CHOOSECOLS(_xlfn.TEXTSPLIT(D28,"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36 nodes and 290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29" spans="1:15" x14ac:dyDescent="0.25">
      <c r="A29" s="10" t="s">
        <v>85</v>
      </c>
      <c r="B29" s="10" t="s">
        <v>67</v>
      </c>
      <c r="C29" s="10" t="s">
        <v>98</v>
      </c>
      <c r="D29" s="12" t="s">
        <v>101</v>
      </c>
      <c r="E29" s="10" t="s">
        <v>8</v>
      </c>
      <c r="F29" s="10" t="s">
        <v>38</v>
      </c>
      <c r="G29" s="10">
        <v>200</v>
      </c>
      <c r="H29" s="10">
        <v>50</v>
      </c>
      <c r="I29" s="10">
        <v>0.9</v>
      </c>
      <c r="J29" s="10">
        <v>0.1</v>
      </c>
      <c r="K29" s="10" t="s">
        <v>48</v>
      </c>
      <c r="L29" s="10" t="s">
        <v>63</v>
      </c>
      <c r="M29" s="11" t="s">
        <v>50</v>
      </c>
      <c r="N29" s="10" t="s">
        <v>62</v>
      </c>
      <c r="O29" s="10" t="str" cm="1">
        <f t="array" ref="O29">CONCATENATE("I'm using mealpy library to solve Graph Coloring Problem. My problem instance has  ", _xlfn.CHOOSECOLS(_xlfn.TEXTSPLIT(D29," "),1)," nodes and ", _xlfn.CHOOSECOLS(_xlfn.TEXTSPLIT(D29,"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49 nodes and 476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0" spans="1:15" x14ac:dyDescent="0.25">
      <c r="A30" s="10" t="s">
        <v>85</v>
      </c>
      <c r="B30" s="10" t="s">
        <v>67</v>
      </c>
      <c r="C30" s="10" t="s">
        <v>102</v>
      </c>
      <c r="D30" s="12" t="s">
        <v>103</v>
      </c>
      <c r="E30" s="10" t="s">
        <v>8</v>
      </c>
      <c r="F30" s="10" t="s">
        <v>38</v>
      </c>
      <c r="G30" s="10">
        <v>200</v>
      </c>
      <c r="H30" s="10">
        <v>50</v>
      </c>
      <c r="I30" s="10">
        <v>0.9</v>
      </c>
      <c r="J30" s="10">
        <v>0.1</v>
      </c>
      <c r="K30" s="10" t="s">
        <v>48</v>
      </c>
      <c r="L30" s="10" t="s">
        <v>63</v>
      </c>
      <c r="M30" s="11" t="s">
        <v>50</v>
      </c>
      <c r="N30" s="10" t="s">
        <v>62</v>
      </c>
      <c r="O30" s="10" t="str" cm="1">
        <f t="array" ref="O30">CONCATENATE("I'm using mealpy library to solve Graph Coloring Problem. My problem instance has  ", _xlfn.CHOOSECOLS(_xlfn.TEXTSPLIT(D30," "),1)," nodes and ", _xlfn.CHOOSECOLS(_xlfn.TEXTSPLIT(D30,"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64 nodes and 728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1" spans="1:15" x14ac:dyDescent="0.25">
      <c r="A31" s="10" t="s">
        <v>85</v>
      </c>
      <c r="B31" s="10" t="s">
        <v>67</v>
      </c>
      <c r="C31" s="10" t="s">
        <v>104</v>
      </c>
      <c r="D31" s="12" t="s">
        <v>105</v>
      </c>
      <c r="E31" s="10" t="s">
        <v>8</v>
      </c>
      <c r="F31" s="10" t="s">
        <v>38</v>
      </c>
      <c r="G31" s="10">
        <v>500</v>
      </c>
      <c r="H31" s="10">
        <v>100</v>
      </c>
      <c r="I31" s="10">
        <v>0.85</v>
      </c>
      <c r="J31" s="10">
        <v>0.05</v>
      </c>
      <c r="K31" s="10" t="s">
        <v>48</v>
      </c>
      <c r="L31" s="10" t="s">
        <v>63</v>
      </c>
      <c r="M31" s="11" t="s">
        <v>50</v>
      </c>
      <c r="N31" s="10" t="s">
        <v>62</v>
      </c>
      <c r="O31" s="10" t="str" cm="1">
        <f t="array" ref="O31">CONCATENATE("I'm using mealpy library to solve Graph Coloring Problem. My problem instance has  ", _xlfn.CHOOSECOLS(_xlfn.TEXTSPLIT(D31," "),1)," nodes and ", _xlfn.CHOOSECOLS(_xlfn.TEXTSPLIT(D31,"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81 nodes and 2112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2" spans="1:15" x14ac:dyDescent="0.25">
      <c r="A32" s="10" t="s">
        <v>85</v>
      </c>
      <c r="B32" s="10" t="s">
        <v>67</v>
      </c>
      <c r="C32" s="10" t="s">
        <v>86</v>
      </c>
      <c r="D32" s="10" t="s">
        <v>91</v>
      </c>
      <c r="E32" s="10" t="s">
        <v>110</v>
      </c>
      <c r="F32" s="10" t="s">
        <v>38</v>
      </c>
      <c r="G32" s="10">
        <v>1000</v>
      </c>
      <c r="H32" s="10">
        <v>50</v>
      </c>
      <c r="I32" s="10">
        <v>0.8</v>
      </c>
      <c r="J32" s="10">
        <v>0.1</v>
      </c>
      <c r="K32" s="10" t="s">
        <v>48</v>
      </c>
      <c r="L32" s="10" t="s">
        <v>49</v>
      </c>
      <c r="M32" s="11" t="s">
        <v>61</v>
      </c>
      <c r="N32" s="10" t="s">
        <v>62</v>
      </c>
      <c r="O32" s="10" t="str" cm="1">
        <f t="array" ref="O32">CONCATENATE("I'm using mealpy library to solve Graph Coloring Problem. My problem instance has  ", _xlfn.CHOOSECOLS(_xlfn.TEXTSPLIT(D32," "),1)," nodes and ", _xlfn.CHOOSECOLS(_xlfn.TEXTSPLIT(D32,"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11 nodes and 20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3" spans="1:15" x14ac:dyDescent="0.25">
      <c r="A33" s="10" t="s">
        <v>85</v>
      </c>
      <c r="B33" s="10" t="s">
        <v>67</v>
      </c>
      <c r="C33" s="10" t="s">
        <v>87</v>
      </c>
      <c r="D33" s="10" t="s">
        <v>92</v>
      </c>
      <c r="E33" s="10" t="s">
        <v>110</v>
      </c>
      <c r="F33" s="10" t="s">
        <v>38</v>
      </c>
      <c r="G33" s="10">
        <v>10000</v>
      </c>
      <c r="H33" s="10">
        <v>100</v>
      </c>
      <c r="I33" s="10">
        <v>0.8</v>
      </c>
      <c r="J33" s="10">
        <v>0.1</v>
      </c>
      <c r="K33" s="10" t="s">
        <v>48</v>
      </c>
      <c r="L33" s="10" t="s">
        <v>49</v>
      </c>
      <c r="M33" s="11" t="s">
        <v>50</v>
      </c>
      <c r="N33" s="10" t="s">
        <v>62</v>
      </c>
      <c r="O33" s="10" t="str" cm="1">
        <f t="array" ref="O33">CONCATENATE("I'm using mealpy library to solve Graph Coloring Problem. My problem instance has  ", _xlfn.CHOOSECOLS(_xlfn.TEXTSPLIT(D33," "),1)," nodes and ", _xlfn.CHOOSECOLS(_xlfn.TEXTSPLIT(D33,"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23 nodes and 71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4" spans="1:15" x14ac:dyDescent="0.25">
      <c r="A34" s="10" t="s">
        <v>85</v>
      </c>
      <c r="B34" s="10" t="s">
        <v>67</v>
      </c>
      <c r="C34" s="10" t="s">
        <v>88</v>
      </c>
      <c r="D34" s="12" t="s">
        <v>93</v>
      </c>
      <c r="E34" s="10" t="s">
        <v>110</v>
      </c>
      <c r="F34" s="10" t="s">
        <v>38</v>
      </c>
      <c r="G34" s="10">
        <v>5000</v>
      </c>
      <c r="H34" s="10">
        <v>100</v>
      </c>
      <c r="I34" s="10">
        <v>0.9</v>
      </c>
      <c r="J34" s="10">
        <v>0.1</v>
      </c>
      <c r="K34" s="10" t="s">
        <v>48</v>
      </c>
      <c r="L34" s="10" t="s">
        <v>49</v>
      </c>
      <c r="M34" s="11" t="s">
        <v>50</v>
      </c>
      <c r="N34" s="10" t="s">
        <v>62</v>
      </c>
      <c r="O34" s="10" t="str" cm="1">
        <f t="array" ref="O34">CONCATENATE("I'm using mealpy library to solve Graph Coloring Problem. My problem instance has  ", _xlfn.CHOOSECOLS(_xlfn.TEXTSPLIT(D34," "),1)," nodes and ", _xlfn.CHOOSECOLS(_xlfn.TEXTSPLIT(D34,"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47 nodes and 236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5" spans="1:15" x14ac:dyDescent="0.25">
      <c r="A35" s="10" t="s">
        <v>85</v>
      </c>
      <c r="B35" s="10" t="s">
        <v>67</v>
      </c>
      <c r="C35" s="10" t="s">
        <v>89</v>
      </c>
      <c r="D35" s="12" t="s">
        <v>94</v>
      </c>
      <c r="E35" s="10" t="s">
        <v>110</v>
      </c>
      <c r="F35" s="10" t="s">
        <v>38</v>
      </c>
      <c r="G35" s="10">
        <v>10000</v>
      </c>
      <c r="H35" s="10">
        <v>100</v>
      </c>
      <c r="I35" s="10">
        <v>0.9</v>
      </c>
      <c r="J35" s="10">
        <v>0.1</v>
      </c>
      <c r="K35" s="10" t="s">
        <v>48</v>
      </c>
      <c r="L35" s="10" t="s">
        <v>49</v>
      </c>
      <c r="M35" s="11" t="s">
        <v>50</v>
      </c>
      <c r="N35" s="10" t="s">
        <v>62</v>
      </c>
      <c r="O35" s="10" t="str" cm="1">
        <f t="array" ref="O35">CONCATENATE("I'm using mealpy library to solve Graph Coloring Problem. My problem instance has  ", _xlfn.CHOOSECOLS(_xlfn.TEXTSPLIT(D35," "),1)," nodes and ", _xlfn.CHOOSECOLS(_xlfn.TEXTSPLIT(D35,"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95 nodes and 755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6" spans="1:15" x14ac:dyDescent="0.25">
      <c r="A36" s="10" t="s">
        <v>85</v>
      </c>
      <c r="B36" s="10" t="s">
        <v>67</v>
      </c>
      <c r="C36" s="10" t="s">
        <v>90</v>
      </c>
      <c r="D36" s="12" t="s">
        <v>95</v>
      </c>
      <c r="E36" s="10" t="s">
        <v>110</v>
      </c>
      <c r="F36" s="10" t="s">
        <v>38</v>
      </c>
      <c r="G36" s="10">
        <v>5000</v>
      </c>
      <c r="H36" s="10">
        <v>100</v>
      </c>
      <c r="I36" s="10">
        <v>0.8</v>
      </c>
      <c r="J36" s="10">
        <v>0.1</v>
      </c>
      <c r="K36" s="10" t="s">
        <v>48</v>
      </c>
      <c r="L36" s="10" t="s">
        <v>49</v>
      </c>
      <c r="M36" s="11" t="s">
        <v>50</v>
      </c>
      <c r="N36" s="10" t="s">
        <v>62</v>
      </c>
      <c r="O36" s="10" t="str" cm="1">
        <f t="array" ref="O36">CONCATENATE("I'm using mealpy library to solve Graph Coloring Problem. My problem instance has  ", _xlfn.CHOOSECOLS(_xlfn.TEXTSPLIT(D36," "),1)," nodes and ", _xlfn.CHOOSECOLS(_xlfn.TEXTSPLIT(D36,"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191 nodes and 2360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7" spans="1:15" x14ac:dyDescent="0.25">
      <c r="A37" s="10" t="s">
        <v>85</v>
      </c>
      <c r="B37" s="10" t="s">
        <v>67</v>
      </c>
      <c r="C37" s="10" t="s">
        <v>96</v>
      </c>
      <c r="D37" s="12" t="s">
        <v>99</v>
      </c>
      <c r="E37" s="10" t="s">
        <v>110</v>
      </c>
      <c r="F37" s="10" t="s">
        <v>38</v>
      </c>
      <c r="G37" s="10">
        <v>1000</v>
      </c>
      <c r="H37" s="10">
        <v>100</v>
      </c>
      <c r="I37" s="10">
        <v>0.8</v>
      </c>
      <c r="J37" s="10">
        <v>0.1</v>
      </c>
      <c r="K37" s="10" t="s">
        <v>48</v>
      </c>
      <c r="L37" s="10" t="s">
        <v>60</v>
      </c>
      <c r="M37" s="11" t="s">
        <v>50</v>
      </c>
      <c r="N37" s="10" t="s">
        <v>62</v>
      </c>
      <c r="O37" s="10" t="str" cm="1">
        <f t="array" ref="O37">CONCATENATE("I'm using mealpy library to solve Graph Coloring Problem. My problem instance has  ", _xlfn.CHOOSECOLS(_xlfn.TEXTSPLIT(D37," "),1)," nodes and ", _xlfn.CHOOSECOLS(_xlfn.TEXTSPLIT(D37,"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25 nodes and 160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8" spans="1:15" x14ac:dyDescent="0.25">
      <c r="A38" s="10" t="s">
        <v>85</v>
      </c>
      <c r="B38" s="10" t="s">
        <v>67</v>
      </c>
      <c r="C38" s="10" t="s">
        <v>97</v>
      </c>
      <c r="D38" s="12" t="s">
        <v>100</v>
      </c>
      <c r="E38" s="10" t="s">
        <v>110</v>
      </c>
      <c r="F38" s="10" t="s">
        <v>38</v>
      </c>
      <c r="G38" s="10">
        <v>1000</v>
      </c>
      <c r="H38" s="10">
        <v>100</v>
      </c>
      <c r="I38" s="10">
        <v>0.8</v>
      </c>
      <c r="J38" s="10">
        <v>0.1</v>
      </c>
      <c r="K38" s="10" t="s">
        <v>48</v>
      </c>
      <c r="L38" s="10" t="s">
        <v>49</v>
      </c>
      <c r="M38" s="11" t="s">
        <v>50</v>
      </c>
      <c r="N38" s="10" t="s">
        <v>62</v>
      </c>
      <c r="O38" s="10" t="str" cm="1">
        <f t="array" ref="O38">CONCATENATE("I'm using mealpy library to solve Graph Coloring Problem. My problem instance has  ", _xlfn.CHOOSECOLS(_xlfn.TEXTSPLIT(D38," "),1)," nodes and ", _xlfn.CHOOSECOLS(_xlfn.TEXTSPLIT(D38,"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36 nodes and 290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39" spans="1:15" x14ac:dyDescent="0.25">
      <c r="A39" s="10" t="s">
        <v>85</v>
      </c>
      <c r="B39" s="10" t="s">
        <v>67</v>
      </c>
      <c r="C39" s="10" t="s">
        <v>98</v>
      </c>
      <c r="D39" s="12" t="s">
        <v>101</v>
      </c>
      <c r="E39" s="10" t="s">
        <v>110</v>
      </c>
      <c r="F39" s="10" t="s">
        <v>38</v>
      </c>
      <c r="G39" s="10">
        <v>100000</v>
      </c>
      <c r="H39" s="10">
        <v>100</v>
      </c>
      <c r="I39" s="10">
        <v>0.9</v>
      </c>
      <c r="J39" s="10">
        <v>0.1</v>
      </c>
      <c r="K39" s="10" t="s">
        <v>48</v>
      </c>
      <c r="L39" s="10" t="s">
        <v>63</v>
      </c>
      <c r="M39" s="11" t="s">
        <v>50</v>
      </c>
      <c r="N39" s="10" t="s">
        <v>62</v>
      </c>
      <c r="O39" s="10" t="str" cm="1">
        <f t="array" ref="O39">CONCATENATE("I'm using mealpy library to solve Graph Coloring Problem. My problem instance has  ", _xlfn.CHOOSECOLS(_xlfn.TEXTSPLIT(D39," "),1)," nodes and ", _xlfn.CHOOSECOLS(_xlfn.TEXTSPLIT(D39,"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49 nodes and 476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40" spans="1:15" x14ac:dyDescent="0.25">
      <c r="A40" s="10" t="s">
        <v>85</v>
      </c>
      <c r="B40" s="10" t="s">
        <v>67</v>
      </c>
      <c r="C40" s="10" t="s">
        <v>102</v>
      </c>
      <c r="D40" s="12" t="s">
        <v>103</v>
      </c>
      <c r="E40" s="10" t="s">
        <v>110</v>
      </c>
      <c r="F40" s="10" t="s">
        <v>38</v>
      </c>
      <c r="G40" s="10">
        <v>1000</v>
      </c>
      <c r="H40" s="10">
        <v>100</v>
      </c>
      <c r="I40" s="10">
        <v>0.8</v>
      </c>
      <c r="J40" s="10">
        <v>0.1</v>
      </c>
      <c r="K40" s="10" t="s">
        <v>48</v>
      </c>
      <c r="L40" s="10" t="s">
        <v>49</v>
      </c>
      <c r="M40" s="11" t="s">
        <v>50</v>
      </c>
      <c r="N40" s="10" t="s">
        <v>62</v>
      </c>
      <c r="O40" s="10" t="str" cm="1">
        <f t="array" ref="O40">CONCATENATE("I'm using mealpy library to solve Graph Coloring Problem. My problem instance has  ", _xlfn.CHOOSECOLS(_xlfn.TEXTSPLIT(D40," "),1)," nodes and ", _xlfn.CHOOSECOLS(_xlfn.TEXTSPLIT(D40,"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64 nodes and 728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41" spans="1:15" x14ac:dyDescent="0.25">
      <c r="A41" s="10" t="s">
        <v>85</v>
      </c>
      <c r="B41" s="10" t="s">
        <v>67</v>
      </c>
      <c r="C41" s="10" t="s">
        <v>104</v>
      </c>
      <c r="D41" s="12" t="s">
        <v>105</v>
      </c>
      <c r="E41" s="10" t="s">
        <v>110</v>
      </c>
      <c r="F41" s="10" t="s">
        <v>38</v>
      </c>
      <c r="G41" s="10">
        <v>1000</v>
      </c>
      <c r="H41" s="10">
        <v>100</v>
      </c>
      <c r="I41" s="10">
        <v>0.8</v>
      </c>
      <c r="J41" s="10">
        <v>0.1</v>
      </c>
      <c r="K41" s="10" t="s">
        <v>48</v>
      </c>
      <c r="L41" s="10" t="s">
        <v>49</v>
      </c>
      <c r="M41" s="11" t="s">
        <v>50</v>
      </c>
      <c r="N41" s="10" t="s">
        <v>62</v>
      </c>
      <c r="O41" s="10" t="str" cm="1">
        <f t="array" ref="O41">CONCATENATE("I'm using mealpy library to solve Graph Coloring Problem. My problem instance has  ", _xlfn.CHOOSECOLS(_xlfn.TEXTSPLIT(D41," "),1)," nodes and ", _xlfn.CHOOSECOLS(_xlfn.TEXTSPLIT(D41," "),2), " edges ", "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 "In brackets I wrote possible parameter values or its type. Suggest me parameter values in this problem setup. Give exact values and present them in python dictionary.")</f>
        <v>I'm using mealpy library to solve Graph Coloring Problem. My problem instance has  81 nodes and 2112 edges  I want to use Genetic Algorithm to solve it. Mealpy's implementation of GA takes following parameters epoch (integer smaller than 1000000), pop_size (integer), pc (float), pm (float), selection(roulette, tournament, random), crossover (one_point, multi_points, uniform, arithmetic), mutation_multipoints (True, False), mutation (flip, swap, scramble, inversion). In brackets I wrote possible parameter values or its type. Suggest me parameter values in this problem setup. Give exact values and present them in python dictionary.</v>
      </c>
    </row>
    <row r="42" spans="1:15" x14ac:dyDescent="0.25">
      <c r="A42" s="10" t="s">
        <v>85</v>
      </c>
      <c r="B42" s="10" t="s">
        <v>67</v>
      </c>
      <c r="C42" s="10" t="s">
        <v>86</v>
      </c>
      <c r="D42" s="10" t="s">
        <v>91</v>
      </c>
      <c r="E42" s="10" t="s">
        <v>36</v>
      </c>
      <c r="F42" s="10" t="s">
        <v>38</v>
      </c>
      <c r="G42" s="10">
        <v>10000</v>
      </c>
      <c r="H42" s="10">
        <v>100</v>
      </c>
      <c r="I42" s="10">
        <v>0.95</v>
      </c>
      <c r="J42" s="10">
        <v>2.5000000000000001E-2</v>
      </c>
      <c r="K42" s="10" t="s">
        <v>48</v>
      </c>
      <c r="L42" s="10" t="s">
        <v>49</v>
      </c>
      <c r="M42" s="11" t="s">
        <v>50</v>
      </c>
      <c r="N42" s="10" t="s">
        <v>51</v>
      </c>
    </row>
    <row r="43" spans="1:15" x14ac:dyDescent="0.25">
      <c r="A43" s="10" t="s">
        <v>85</v>
      </c>
      <c r="B43" s="10" t="s">
        <v>67</v>
      </c>
      <c r="C43" s="10" t="s">
        <v>87</v>
      </c>
      <c r="D43" s="10" t="s">
        <v>92</v>
      </c>
      <c r="E43" s="10" t="s">
        <v>36</v>
      </c>
      <c r="F43" s="10" t="s">
        <v>38</v>
      </c>
      <c r="G43" s="10">
        <v>10000</v>
      </c>
      <c r="H43" s="10">
        <v>100</v>
      </c>
      <c r="I43" s="10">
        <v>0.95</v>
      </c>
      <c r="J43" s="10">
        <v>2.5000000000000001E-2</v>
      </c>
      <c r="K43" s="10" t="s">
        <v>48</v>
      </c>
      <c r="L43" s="10" t="s">
        <v>49</v>
      </c>
      <c r="M43" s="11" t="s">
        <v>50</v>
      </c>
      <c r="N43" s="10" t="s">
        <v>51</v>
      </c>
    </row>
    <row r="44" spans="1:15" x14ac:dyDescent="0.25">
      <c r="A44" s="10" t="s">
        <v>85</v>
      </c>
      <c r="B44" s="10" t="s">
        <v>67</v>
      </c>
      <c r="C44" s="10" t="s">
        <v>88</v>
      </c>
      <c r="D44" s="12" t="s">
        <v>93</v>
      </c>
      <c r="E44" s="10" t="s">
        <v>36</v>
      </c>
      <c r="F44" s="10" t="s">
        <v>38</v>
      </c>
      <c r="G44" s="10">
        <v>10000</v>
      </c>
      <c r="H44" s="10">
        <v>100</v>
      </c>
      <c r="I44" s="10">
        <v>0.95</v>
      </c>
      <c r="J44" s="10">
        <v>2.5000000000000001E-2</v>
      </c>
      <c r="K44" s="10" t="s">
        <v>48</v>
      </c>
      <c r="L44" s="10" t="s">
        <v>49</v>
      </c>
      <c r="M44" s="11" t="s">
        <v>50</v>
      </c>
      <c r="N44" s="10" t="s">
        <v>51</v>
      </c>
    </row>
    <row r="45" spans="1:15" x14ac:dyDescent="0.25">
      <c r="A45" s="10" t="s">
        <v>85</v>
      </c>
      <c r="B45" s="10" t="s">
        <v>67</v>
      </c>
      <c r="C45" s="10" t="s">
        <v>89</v>
      </c>
      <c r="D45" s="12" t="s">
        <v>94</v>
      </c>
      <c r="E45" s="10" t="s">
        <v>36</v>
      </c>
      <c r="F45" s="10" t="s">
        <v>38</v>
      </c>
      <c r="G45" s="10">
        <v>10000</v>
      </c>
      <c r="H45" s="10">
        <v>100</v>
      </c>
      <c r="I45" s="10">
        <v>0.95</v>
      </c>
      <c r="J45" s="10">
        <v>2.5000000000000001E-2</v>
      </c>
      <c r="K45" s="10" t="s">
        <v>48</v>
      </c>
      <c r="L45" s="10" t="s">
        <v>49</v>
      </c>
      <c r="M45" s="11" t="s">
        <v>50</v>
      </c>
      <c r="N45" s="10" t="s">
        <v>51</v>
      </c>
    </row>
    <row r="46" spans="1:15" x14ac:dyDescent="0.25">
      <c r="A46" s="10" t="s">
        <v>85</v>
      </c>
      <c r="B46" s="10" t="s">
        <v>67</v>
      </c>
      <c r="C46" s="10" t="s">
        <v>90</v>
      </c>
      <c r="D46" s="12" t="s">
        <v>95</v>
      </c>
      <c r="E46" s="10" t="s">
        <v>36</v>
      </c>
      <c r="F46" s="10" t="s">
        <v>38</v>
      </c>
      <c r="G46" s="10">
        <v>10000</v>
      </c>
      <c r="H46" s="10">
        <v>100</v>
      </c>
      <c r="I46" s="10">
        <v>0.95</v>
      </c>
      <c r="J46" s="10">
        <v>2.5000000000000001E-2</v>
      </c>
      <c r="K46" s="10" t="s">
        <v>48</v>
      </c>
      <c r="L46" s="10" t="s">
        <v>49</v>
      </c>
      <c r="M46" s="11" t="s">
        <v>50</v>
      </c>
      <c r="N46" s="10" t="s">
        <v>51</v>
      </c>
    </row>
    <row r="47" spans="1:15" x14ac:dyDescent="0.25">
      <c r="A47" s="10" t="s">
        <v>85</v>
      </c>
      <c r="B47" s="10" t="s">
        <v>67</v>
      </c>
      <c r="C47" s="10" t="s">
        <v>96</v>
      </c>
      <c r="D47" s="12" t="s">
        <v>99</v>
      </c>
      <c r="E47" s="10" t="s">
        <v>36</v>
      </c>
      <c r="F47" s="10" t="s">
        <v>38</v>
      </c>
      <c r="G47" s="10">
        <v>10000</v>
      </c>
      <c r="H47" s="10">
        <v>100</v>
      </c>
      <c r="I47" s="10">
        <v>0.95</v>
      </c>
      <c r="J47" s="10">
        <v>2.5000000000000001E-2</v>
      </c>
      <c r="K47" s="10" t="s">
        <v>48</v>
      </c>
      <c r="L47" s="10" t="s">
        <v>49</v>
      </c>
      <c r="M47" s="11" t="s">
        <v>50</v>
      </c>
      <c r="N47" s="10" t="s">
        <v>51</v>
      </c>
    </row>
    <row r="48" spans="1:15" x14ac:dyDescent="0.25">
      <c r="A48" s="10" t="s">
        <v>85</v>
      </c>
      <c r="B48" s="10" t="s">
        <v>67</v>
      </c>
      <c r="C48" s="10" t="s">
        <v>97</v>
      </c>
      <c r="D48" s="10" t="s">
        <v>100</v>
      </c>
      <c r="E48" s="10" t="s">
        <v>36</v>
      </c>
      <c r="F48" s="10" t="s">
        <v>38</v>
      </c>
      <c r="G48" s="10">
        <v>10000</v>
      </c>
      <c r="H48" s="10">
        <v>100</v>
      </c>
      <c r="I48" s="10">
        <v>0.95</v>
      </c>
      <c r="J48" s="10">
        <v>2.5000000000000001E-2</v>
      </c>
      <c r="K48" s="10" t="s">
        <v>48</v>
      </c>
      <c r="L48" s="10" t="s">
        <v>49</v>
      </c>
      <c r="M48" s="10" t="s">
        <v>50</v>
      </c>
      <c r="N48" s="10" t="s">
        <v>51</v>
      </c>
    </row>
    <row r="49" spans="1:15" x14ac:dyDescent="0.25">
      <c r="A49" s="10" t="s">
        <v>85</v>
      </c>
      <c r="B49" s="10" t="s">
        <v>67</v>
      </c>
      <c r="C49" s="10" t="s">
        <v>98</v>
      </c>
      <c r="D49" s="10" t="s">
        <v>101</v>
      </c>
      <c r="E49" s="10" t="s">
        <v>36</v>
      </c>
      <c r="F49" s="10" t="s">
        <v>38</v>
      </c>
      <c r="G49" s="10">
        <v>10000</v>
      </c>
      <c r="H49" s="10">
        <v>100</v>
      </c>
      <c r="I49" s="10">
        <v>0.95</v>
      </c>
      <c r="J49" s="10">
        <v>2.5000000000000001E-2</v>
      </c>
      <c r="K49" s="10" t="s">
        <v>48</v>
      </c>
      <c r="L49" s="10" t="s">
        <v>49</v>
      </c>
      <c r="M49" s="10" t="s">
        <v>50</v>
      </c>
      <c r="N49" s="10" t="s">
        <v>51</v>
      </c>
    </row>
    <row r="50" spans="1:15" x14ac:dyDescent="0.25">
      <c r="A50" s="10" t="s">
        <v>85</v>
      </c>
      <c r="B50" s="10" t="s">
        <v>67</v>
      </c>
      <c r="C50" s="10" t="s">
        <v>102</v>
      </c>
      <c r="D50" s="10" t="s">
        <v>103</v>
      </c>
      <c r="E50" s="10" t="s">
        <v>36</v>
      </c>
      <c r="F50" s="10" t="s">
        <v>38</v>
      </c>
      <c r="G50" s="10">
        <v>10000</v>
      </c>
      <c r="H50" s="10">
        <v>100</v>
      </c>
      <c r="I50" s="10">
        <v>0.95</v>
      </c>
      <c r="J50" s="10">
        <v>2.5000000000000001E-2</v>
      </c>
      <c r="K50" s="10" t="s">
        <v>48</v>
      </c>
      <c r="L50" s="10" t="s">
        <v>49</v>
      </c>
      <c r="M50" s="10" t="s">
        <v>50</v>
      </c>
      <c r="N50" s="10" t="s">
        <v>51</v>
      </c>
    </row>
    <row r="51" spans="1:15" x14ac:dyDescent="0.25">
      <c r="A51" s="10" t="s">
        <v>85</v>
      </c>
      <c r="B51" s="10" t="s">
        <v>67</v>
      </c>
      <c r="C51" s="10" t="s">
        <v>104</v>
      </c>
      <c r="D51" s="10" t="s">
        <v>105</v>
      </c>
      <c r="E51" s="10" t="s">
        <v>36</v>
      </c>
      <c r="F51" s="10" t="s">
        <v>38</v>
      </c>
      <c r="G51" s="10">
        <v>10000</v>
      </c>
      <c r="H51" s="10">
        <v>100</v>
      </c>
      <c r="I51" s="10">
        <v>0.95</v>
      </c>
      <c r="J51" s="10">
        <v>2.5000000000000001E-2</v>
      </c>
      <c r="K51" s="10" t="s">
        <v>48</v>
      </c>
      <c r="L51" s="10" t="s">
        <v>49</v>
      </c>
      <c r="M51" s="10" t="s">
        <v>50</v>
      </c>
      <c r="N51" s="10" t="s">
        <v>51</v>
      </c>
    </row>
    <row r="52" spans="1:15" x14ac:dyDescent="0.25">
      <c r="A52" s="10" t="s">
        <v>85</v>
      </c>
      <c r="B52" s="10" t="s">
        <v>67</v>
      </c>
      <c r="C52" s="10" t="s">
        <v>86</v>
      </c>
      <c r="D52" s="10" t="s">
        <v>91</v>
      </c>
      <c r="E52" s="10" t="s">
        <v>107</v>
      </c>
      <c r="F52" s="10" t="s">
        <v>52</v>
      </c>
      <c r="G52" s="10">
        <v>2500</v>
      </c>
      <c r="H52" s="10">
        <v>200</v>
      </c>
      <c r="I52" s="10">
        <v>0.9</v>
      </c>
      <c r="J52" s="10">
        <v>0.15</v>
      </c>
      <c r="K52" s="10" t="s">
        <v>59</v>
      </c>
      <c r="L52" s="10" t="s">
        <v>49</v>
      </c>
      <c r="M52" s="11" t="s">
        <v>50</v>
      </c>
      <c r="N52" s="10" t="s">
        <v>62</v>
      </c>
      <c r="O52" s="10" t="s">
        <v>392</v>
      </c>
    </row>
    <row r="53" spans="1:15" x14ac:dyDescent="0.25">
      <c r="A53" s="10" t="s">
        <v>85</v>
      </c>
      <c r="B53" s="10" t="s">
        <v>67</v>
      </c>
      <c r="C53" s="10" t="s">
        <v>87</v>
      </c>
      <c r="D53" s="10" t="s">
        <v>92</v>
      </c>
      <c r="E53" s="10" t="s">
        <v>107</v>
      </c>
      <c r="F53" s="10" t="s">
        <v>52</v>
      </c>
      <c r="G53" s="10">
        <v>600</v>
      </c>
      <c r="H53" s="10">
        <v>40</v>
      </c>
      <c r="I53" s="10">
        <v>0.9</v>
      </c>
      <c r="J53" s="10">
        <v>0.05</v>
      </c>
      <c r="K53" s="10" t="s">
        <v>48</v>
      </c>
      <c r="L53" s="10" t="s">
        <v>49</v>
      </c>
      <c r="M53" s="11" t="s">
        <v>50</v>
      </c>
      <c r="N53" s="10" t="s">
        <v>62</v>
      </c>
      <c r="O53" s="10" t="s">
        <v>393</v>
      </c>
    </row>
    <row r="54" spans="1:15" x14ac:dyDescent="0.25">
      <c r="A54" s="10" t="s">
        <v>85</v>
      </c>
      <c r="B54" s="10" t="s">
        <v>67</v>
      </c>
      <c r="C54" s="10" t="s">
        <v>88</v>
      </c>
      <c r="D54" s="10" t="s">
        <v>93</v>
      </c>
      <c r="E54" s="10" t="s">
        <v>107</v>
      </c>
      <c r="F54" s="10" t="s">
        <v>52</v>
      </c>
      <c r="G54" s="10">
        <v>250</v>
      </c>
      <c r="H54" s="10">
        <v>200</v>
      </c>
      <c r="I54" s="10">
        <v>0.85</v>
      </c>
      <c r="J54" s="10">
        <v>0.2</v>
      </c>
      <c r="K54" s="10" t="s">
        <v>48</v>
      </c>
      <c r="L54" s="10" t="s">
        <v>49</v>
      </c>
      <c r="M54" s="11" t="s">
        <v>50</v>
      </c>
      <c r="N54" s="10" t="s">
        <v>62</v>
      </c>
      <c r="O54" s="10" t="s">
        <v>394</v>
      </c>
    </row>
    <row r="55" spans="1:15" x14ac:dyDescent="0.25">
      <c r="A55" s="10" t="s">
        <v>85</v>
      </c>
      <c r="B55" s="10" t="s">
        <v>67</v>
      </c>
      <c r="C55" s="10" t="s">
        <v>89</v>
      </c>
      <c r="D55" s="10" t="s">
        <v>94</v>
      </c>
      <c r="E55" s="10" t="s">
        <v>107</v>
      </c>
      <c r="F55" s="10" t="s">
        <v>52</v>
      </c>
      <c r="G55" s="10">
        <v>10000</v>
      </c>
      <c r="H55" s="10">
        <v>50</v>
      </c>
      <c r="I55" s="10">
        <v>0.85</v>
      </c>
      <c r="J55" s="10">
        <v>0.1</v>
      </c>
      <c r="K55" s="10" t="s">
        <v>48</v>
      </c>
      <c r="L55" s="10" t="s">
        <v>49</v>
      </c>
      <c r="M55" s="11" t="s">
        <v>50</v>
      </c>
      <c r="N55" s="10" t="s">
        <v>62</v>
      </c>
      <c r="O55" s="10" t="s">
        <v>395</v>
      </c>
    </row>
    <row r="56" spans="1:15" x14ac:dyDescent="0.25">
      <c r="A56" s="10" t="s">
        <v>85</v>
      </c>
      <c r="B56" s="10" t="s">
        <v>67</v>
      </c>
      <c r="C56" s="10" t="s">
        <v>90</v>
      </c>
      <c r="D56" s="10" t="s">
        <v>95</v>
      </c>
      <c r="E56" s="10" t="s">
        <v>107</v>
      </c>
      <c r="F56" s="10" t="s">
        <v>52</v>
      </c>
      <c r="G56" s="10">
        <v>500</v>
      </c>
      <c r="H56" s="10">
        <v>200</v>
      </c>
      <c r="I56" s="10">
        <v>0.85</v>
      </c>
      <c r="J56" s="10">
        <v>0.2</v>
      </c>
      <c r="K56" s="10" t="s">
        <v>48</v>
      </c>
      <c r="L56" s="10" t="s">
        <v>49</v>
      </c>
      <c r="M56" s="11" t="s">
        <v>50</v>
      </c>
      <c r="N56" s="10" t="s">
        <v>62</v>
      </c>
      <c r="O56" s="10" t="s">
        <v>396</v>
      </c>
    </row>
    <row r="57" spans="1:15" x14ac:dyDescent="0.25">
      <c r="A57" s="10" t="s">
        <v>85</v>
      </c>
      <c r="B57" s="10" t="s">
        <v>67</v>
      </c>
      <c r="C57" s="10" t="s">
        <v>96</v>
      </c>
      <c r="D57" s="10" t="s">
        <v>99</v>
      </c>
      <c r="E57" s="10" t="s">
        <v>107</v>
      </c>
      <c r="F57" s="10" t="s">
        <v>52</v>
      </c>
      <c r="G57" s="10">
        <v>2500</v>
      </c>
      <c r="H57" s="10">
        <v>100</v>
      </c>
      <c r="I57" s="10">
        <v>0.85</v>
      </c>
      <c r="J57" s="10">
        <v>0.15</v>
      </c>
      <c r="K57" s="10" t="s">
        <v>48</v>
      </c>
      <c r="L57" s="10" t="s">
        <v>49</v>
      </c>
      <c r="M57" s="11" t="s">
        <v>50</v>
      </c>
      <c r="N57" s="10" t="s">
        <v>62</v>
      </c>
      <c r="O57" s="10" t="s">
        <v>397</v>
      </c>
    </row>
    <row r="58" spans="1:15" x14ac:dyDescent="0.25">
      <c r="A58" s="10" t="s">
        <v>85</v>
      </c>
      <c r="B58" s="10" t="s">
        <v>67</v>
      </c>
      <c r="C58" s="10" t="s">
        <v>97</v>
      </c>
      <c r="D58" s="10" t="s">
        <v>100</v>
      </c>
      <c r="E58" s="10" t="s">
        <v>107</v>
      </c>
      <c r="F58" s="10" t="s">
        <v>52</v>
      </c>
      <c r="G58" s="10">
        <v>20000</v>
      </c>
      <c r="H58" s="10">
        <v>50</v>
      </c>
      <c r="I58" s="10">
        <v>0.85</v>
      </c>
      <c r="J58" s="10">
        <v>0.08</v>
      </c>
      <c r="K58" s="10" t="s">
        <v>48</v>
      </c>
      <c r="L58" s="10" t="s">
        <v>49</v>
      </c>
      <c r="M58" s="11" t="s">
        <v>50</v>
      </c>
      <c r="N58" s="10" t="s">
        <v>62</v>
      </c>
      <c r="O58" s="10" t="s">
        <v>398</v>
      </c>
    </row>
    <row r="59" spans="1:15" x14ac:dyDescent="0.25">
      <c r="A59" s="10" t="s">
        <v>85</v>
      </c>
      <c r="B59" s="10" t="s">
        <v>67</v>
      </c>
      <c r="C59" s="10" t="s">
        <v>98</v>
      </c>
      <c r="D59" s="10" t="s">
        <v>101</v>
      </c>
      <c r="E59" s="10" t="s">
        <v>107</v>
      </c>
      <c r="F59" s="10" t="s">
        <v>52</v>
      </c>
      <c r="G59" s="10">
        <v>20000</v>
      </c>
      <c r="H59" s="10">
        <v>50</v>
      </c>
      <c r="I59" s="10">
        <v>0.85</v>
      </c>
      <c r="J59" s="10">
        <v>0.15</v>
      </c>
      <c r="K59" s="10" t="s">
        <v>48</v>
      </c>
      <c r="L59" s="10" t="s">
        <v>49</v>
      </c>
      <c r="M59" s="11" t="s">
        <v>50</v>
      </c>
      <c r="N59" s="10" t="s">
        <v>62</v>
      </c>
      <c r="O59" s="10" t="s">
        <v>399</v>
      </c>
    </row>
    <row r="60" spans="1:15" x14ac:dyDescent="0.25">
      <c r="A60" s="10" t="s">
        <v>85</v>
      </c>
      <c r="B60" s="10" t="s">
        <v>67</v>
      </c>
      <c r="C60" s="10" t="s">
        <v>102</v>
      </c>
      <c r="D60" s="10" t="s">
        <v>103</v>
      </c>
      <c r="E60" s="10" t="s">
        <v>107</v>
      </c>
      <c r="F60" s="10" t="s">
        <v>52</v>
      </c>
      <c r="G60" s="10">
        <v>1000</v>
      </c>
      <c r="H60" s="10">
        <v>1000</v>
      </c>
      <c r="I60" s="10">
        <v>0.85</v>
      </c>
      <c r="J60" s="10">
        <v>0.15</v>
      </c>
      <c r="K60" s="10" t="s">
        <v>48</v>
      </c>
      <c r="L60" s="10" t="s">
        <v>49</v>
      </c>
      <c r="M60" s="11" t="s">
        <v>50</v>
      </c>
      <c r="N60" s="10" t="s">
        <v>62</v>
      </c>
      <c r="O60" s="10" t="s">
        <v>400</v>
      </c>
    </row>
    <row r="61" spans="1:15" x14ac:dyDescent="0.25">
      <c r="A61" s="10" t="s">
        <v>85</v>
      </c>
      <c r="B61" s="10" t="s">
        <v>67</v>
      </c>
      <c r="C61" s="10" t="s">
        <v>104</v>
      </c>
      <c r="D61" s="10" t="s">
        <v>105</v>
      </c>
      <c r="E61" s="10" t="s">
        <v>107</v>
      </c>
      <c r="F61" s="10" t="s">
        <v>52</v>
      </c>
      <c r="G61" s="10">
        <v>7200</v>
      </c>
      <c r="H61" s="10">
        <v>200</v>
      </c>
      <c r="I61" s="10">
        <v>0.85</v>
      </c>
      <c r="J61" s="10">
        <v>0.15</v>
      </c>
      <c r="K61" s="10" t="s">
        <v>59</v>
      </c>
      <c r="L61" s="10" t="s">
        <v>63</v>
      </c>
      <c r="M61" s="11" t="s">
        <v>50</v>
      </c>
      <c r="N61" s="10" t="s">
        <v>62</v>
      </c>
      <c r="O61" s="10" t="s">
        <v>401</v>
      </c>
    </row>
    <row r="62" spans="1:15" x14ac:dyDescent="0.25">
      <c r="A62" s="10" t="s">
        <v>85</v>
      </c>
      <c r="B62" s="10" t="s">
        <v>67</v>
      </c>
      <c r="C62" s="10" t="s">
        <v>86</v>
      </c>
      <c r="D62" s="10" t="s">
        <v>91</v>
      </c>
      <c r="E62" s="10" t="s">
        <v>109</v>
      </c>
      <c r="F62" s="10" t="s">
        <v>52</v>
      </c>
      <c r="G62" s="10">
        <v>2500</v>
      </c>
      <c r="H62" s="10">
        <v>100</v>
      </c>
      <c r="I62" s="10">
        <v>0.85</v>
      </c>
      <c r="J62" s="10">
        <v>0.05</v>
      </c>
      <c r="K62" s="10" t="s">
        <v>59</v>
      </c>
      <c r="L62" s="10" t="s">
        <v>49</v>
      </c>
      <c r="M62" s="11" t="s">
        <v>50</v>
      </c>
      <c r="N62" s="10" t="s">
        <v>51</v>
      </c>
      <c r="O62" s="10" t="s">
        <v>402</v>
      </c>
    </row>
    <row r="63" spans="1:15" x14ac:dyDescent="0.25">
      <c r="A63" s="10" t="s">
        <v>85</v>
      </c>
      <c r="B63" s="10" t="s">
        <v>67</v>
      </c>
      <c r="C63" s="10" t="s">
        <v>87</v>
      </c>
      <c r="D63" s="10" t="s">
        <v>92</v>
      </c>
      <c r="E63" s="10" t="s">
        <v>109</v>
      </c>
      <c r="F63" s="10" t="s">
        <v>52</v>
      </c>
      <c r="G63" s="10">
        <v>500</v>
      </c>
      <c r="H63" s="10">
        <v>200</v>
      </c>
      <c r="I63" s="10">
        <v>0.9</v>
      </c>
      <c r="J63" s="10">
        <v>0.2</v>
      </c>
      <c r="K63" s="10" t="s">
        <v>59</v>
      </c>
      <c r="L63" s="10" t="s">
        <v>49</v>
      </c>
      <c r="M63" s="11" t="s">
        <v>50</v>
      </c>
      <c r="N63" s="10" t="s">
        <v>51</v>
      </c>
      <c r="O63" s="10" t="s">
        <v>403</v>
      </c>
    </row>
    <row r="64" spans="1:15" x14ac:dyDescent="0.25">
      <c r="A64" s="10" t="s">
        <v>85</v>
      </c>
      <c r="B64" s="10" t="s">
        <v>67</v>
      </c>
      <c r="C64" s="10" t="s">
        <v>88</v>
      </c>
      <c r="D64" s="10" t="s">
        <v>93</v>
      </c>
      <c r="E64" s="10" t="s">
        <v>109</v>
      </c>
      <c r="F64" s="10" t="s">
        <v>52</v>
      </c>
      <c r="G64" s="10">
        <v>10000</v>
      </c>
      <c r="H64" s="10">
        <v>50</v>
      </c>
      <c r="I64" s="10">
        <v>0.85</v>
      </c>
      <c r="J64" s="10">
        <v>0.1</v>
      </c>
      <c r="K64" s="10" t="s">
        <v>59</v>
      </c>
      <c r="L64" s="10" t="s">
        <v>60</v>
      </c>
      <c r="M64" s="11" t="s">
        <v>50</v>
      </c>
      <c r="N64" s="10" t="s">
        <v>51</v>
      </c>
      <c r="O64" s="10" t="s">
        <v>404</v>
      </c>
    </row>
    <row r="65" spans="1:15" x14ac:dyDescent="0.25">
      <c r="A65" s="10" t="s">
        <v>85</v>
      </c>
      <c r="B65" s="10" t="s">
        <v>67</v>
      </c>
      <c r="C65" s="10" t="s">
        <v>89</v>
      </c>
      <c r="D65" s="10" t="s">
        <v>94</v>
      </c>
      <c r="E65" s="10" t="s">
        <v>109</v>
      </c>
      <c r="F65" s="10" t="s">
        <v>52</v>
      </c>
      <c r="G65" s="10">
        <v>1000</v>
      </c>
      <c r="H65" s="10">
        <v>50</v>
      </c>
      <c r="I65" s="10">
        <v>0.8</v>
      </c>
      <c r="J65" s="10">
        <v>0.2</v>
      </c>
      <c r="K65" s="10" t="s">
        <v>59</v>
      </c>
      <c r="L65" s="10" t="s">
        <v>60</v>
      </c>
      <c r="M65" s="11" t="s">
        <v>61</v>
      </c>
      <c r="N65" s="10" t="s">
        <v>231</v>
      </c>
      <c r="O65" s="10" t="s">
        <v>405</v>
      </c>
    </row>
    <row r="66" spans="1:15" x14ac:dyDescent="0.25">
      <c r="A66" s="10" t="s">
        <v>85</v>
      </c>
      <c r="B66" s="10" t="s">
        <v>67</v>
      </c>
      <c r="C66" s="10" t="s">
        <v>90</v>
      </c>
      <c r="D66" s="10" t="s">
        <v>95</v>
      </c>
      <c r="E66" s="10" t="s">
        <v>109</v>
      </c>
      <c r="F66" s="10" t="s">
        <v>52</v>
      </c>
      <c r="G66" s="10">
        <v>500</v>
      </c>
      <c r="H66" s="10">
        <v>200</v>
      </c>
      <c r="I66" s="10">
        <v>0.85</v>
      </c>
      <c r="J66" s="10">
        <v>0.1</v>
      </c>
      <c r="K66" s="10" t="s">
        <v>59</v>
      </c>
      <c r="L66" s="10" t="s">
        <v>49</v>
      </c>
      <c r="M66" s="11" t="s">
        <v>50</v>
      </c>
      <c r="N66" s="10" t="s">
        <v>51</v>
      </c>
      <c r="O66" s="10" t="s">
        <v>406</v>
      </c>
    </row>
    <row r="67" spans="1:15" x14ac:dyDescent="0.25">
      <c r="A67" s="10" t="s">
        <v>85</v>
      </c>
      <c r="B67" s="10" t="s">
        <v>67</v>
      </c>
      <c r="C67" s="10" t="s">
        <v>96</v>
      </c>
      <c r="D67" s="10" t="s">
        <v>99</v>
      </c>
      <c r="E67" s="10" t="s">
        <v>109</v>
      </c>
      <c r="F67" s="10" t="s">
        <v>52</v>
      </c>
      <c r="G67" s="10">
        <v>25000</v>
      </c>
      <c r="H67" s="10">
        <v>200</v>
      </c>
      <c r="I67" s="10">
        <v>0.85</v>
      </c>
      <c r="J67" s="10">
        <v>0.05</v>
      </c>
      <c r="K67" s="10" t="s">
        <v>59</v>
      </c>
      <c r="L67" s="10" t="s">
        <v>49</v>
      </c>
      <c r="M67" s="11" t="s">
        <v>50</v>
      </c>
      <c r="N67" s="10" t="s">
        <v>51</v>
      </c>
      <c r="O67" s="10" t="s">
        <v>407</v>
      </c>
    </row>
    <row r="68" spans="1:15" x14ac:dyDescent="0.25">
      <c r="A68" s="10" t="s">
        <v>85</v>
      </c>
      <c r="B68" s="10" t="s">
        <v>67</v>
      </c>
      <c r="C68" s="10" t="s">
        <v>97</v>
      </c>
      <c r="D68" s="10" t="s">
        <v>100</v>
      </c>
      <c r="E68" s="10" t="s">
        <v>109</v>
      </c>
      <c r="F68" s="10" t="s">
        <v>52</v>
      </c>
      <c r="G68" s="10">
        <v>500</v>
      </c>
      <c r="H68" s="10">
        <v>200</v>
      </c>
      <c r="I68" s="10">
        <v>0.85</v>
      </c>
      <c r="J68" s="10">
        <v>0.05</v>
      </c>
      <c r="K68" s="10" t="s">
        <v>59</v>
      </c>
      <c r="L68" s="10" t="s">
        <v>60</v>
      </c>
      <c r="M68" s="11" t="s">
        <v>50</v>
      </c>
      <c r="N68" s="10" t="s">
        <v>51</v>
      </c>
      <c r="O68" s="10" t="s">
        <v>408</v>
      </c>
    </row>
    <row r="69" spans="1:15" x14ac:dyDescent="0.25">
      <c r="A69" s="10" t="s">
        <v>85</v>
      </c>
      <c r="B69" s="10" t="s">
        <v>67</v>
      </c>
      <c r="C69" s="10" t="s">
        <v>98</v>
      </c>
      <c r="D69" s="10" t="s">
        <v>101</v>
      </c>
      <c r="E69" s="10" t="s">
        <v>109</v>
      </c>
      <c r="F69" s="10" t="s">
        <v>52</v>
      </c>
      <c r="G69" s="10">
        <v>500</v>
      </c>
      <c r="H69" s="10">
        <v>200</v>
      </c>
      <c r="I69" s="10">
        <v>0.9</v>
      </c>
      <c r="J69" s="10">
        <v>0.05</v>
      </c>
      <c r="K69" s="10" t="s">
        <v>59</v>
      </c>
      <c r="L69" s="10" t="s">
        <v>60</v>
      </c>
      <c r="M69" s="11" t="s">
        <v>50</v>
      </c>
      <c r="N69" s="10" t="s">
        <v>51</v>
      </c>
      <c r="O69" s="10" t="s">
        <v>409</v>
      </c>
    </row>
    <row r="70" spans="1:15" x14ac:dyDescent="0.25">
      <c r="A70" s="10" t="s">
        <v>85</v>
      </c>
      <c r="B70" s="10" t="s">
        <v>67</v>
      </c>
      <c r="C70" s="10" t="s">
        <v>102</v>
      </c>
      <c r="D70" s="10" t="s">
        <v>103</v>
      </c>
      <c r="E70" s="10" t="s">
        <v>109</v>
      </c>
      <c r="F70" s="10" t="s">
        <v>52</v>
      </c>
      <c r="G70" s="10">
        <v>2500</v>
      </c>
      <c r="H70" s="10">
        <v>200</v>
      </c>
      <c r="I70" s="10">
        <v>0.85</v>
      </c>
      <c r="J70" s="10">
        <v>0.05</v>
      </c>
      <c r="K70" s="10" t="s">
        <v>59</v>
      </c>
      <c r="L70" s="10" t="s">
        <v>60</v>
      </c>
      <c r="M70" s="11" t="s">
        <v>61</v>
      </c>
      <c r="N70" s="10" t="s">
        <v>231</v>
      </c>
      <c r="O70" s="10" t="s">
        <v>410</v>
      </c>
    </row>
    <row r="71" spans="1:15" x14ac:dyDescent="0.25">
      <c r="A71" s="10" t="s">
        <v>85</v>
      </c>
      <c r="B71" s="10" t="s">
        <v>67</v>
      </c>
      <c r="C71" s="10" t="s">
        <v>104</v>
      </c>
      <c r="D71" s="10" t="s">
        <v>105</v>
      </c>
      <c r="E71" s="10" t="s">
        <v>109</v>
      </c>
      <c r="F71" s="10" t="s">
        <v>52</v>
      </c>
      <c r="G71" s="10">
        <v>5000</v>
      </c>
      <c r="H71" s="10">
        <v>200</v>
      </c>
      <c r="I71" s="10">
        <v>0.9</v>
      </c>
      <c r="J71" s="10">
        <v>0.05</v>
      </c>
      <c r="K71" s="10" t="s">
        <v>59</v>
      </c>
      <c r="L71" s="10" t="s">
        <v>60</v>
      </c>
      <c r="M71" s="11" t="s">
        <v>61</v>
      </c>
      <c r="N71" s="10" t="s">
        <v>231</v>
      </c>
      <c r="O71" s="10" t="s">
        <v>411</v>
      </c>
    </row>
    <row r="72" spans="1:15" x14ac:dyDescent="0.25">
      <c r="A72" s="10" t="s">
        <v>85</v>
      </c>
      <c r="B72" s="10" t="s">
        <v>67</v>
      </c>
      <c r="C72" s="10" t="s">
        <v>86</v>
      </c>
      <c r="D72" s="10" t="s">
        <v>91</v>
      </c>
      <c r="E72" s="10" t="s">
        <v>8</v>
      </c>
      <c r="F72" s="10" t="s">
        <v>52</v>
      </c>
      <c r="G72" s="10">
        <v>120</v>
      </c>
      <c r="H72" s="10">
        <v>40</v>
      </c>
      <c r="I72" s="10">
        <v>0.8</v>
      </c>
      <c r="J72" s="10">
        <v>0.05</v>
      </c>
      <c r="K72" s="10" t="s">
        <v>59</v>
      </c>
      <c r="L72" s="10" t="s">
        <v>60</v>
      </c>
      <c r="M72" s="11" t="s">
        <v>61</v>
      </c>
      <c r="N72" s="10" t="s">
        <v>51</v>
      </c>
      <c r="O72" s="10" t="s">
        <v>412</v>
      </c>
    </row>
    <row r="73" spans="1:15" x14ac:dyDescent="0.25">
      <c r="A73" s="10" t="s">
        <v>85</v>
      </c>
      <c r="B73" s="10" t="s">
        <v>67</v>
      </c>
      <c r="C73" s="10" t="s">
        <v>87</v>
      </c>
      <c r="D73" s="10" t="s">
        <v>92</v>
      </c>
      <c r="E73" s="10" t="s">
        <v>8</v>
      </c>
      <c r="F73" s="10" t="s">
        <v>52</v>
      </c>
      <c r="G73" s="10">
        <v>150</v>
      </c>
      <c r="H73" s="10">
        <v>32</v>
      </c>
      <c r="I73" s="10">
        <v>0.8</v>
      </c>
      <c r="J73" s="10">
        <v>0.05</v>
      </c>
      <c r="K73" s="10" t="s">
        <v>59</v>
      </c>
      <c r="L73" s="10" t="s">
        <v>49</v>
      </c>
      <c r="M73" s="11" t="s">
        <v>61</v>
      </c>
      <c r="N73" s="10" t="s">
        <v>51</v>
      </c>
      <c r="O73" s="10" t="s">
        <v>413</v>
      </c>
    </row>
    <row r="74" spans="1:15" x14ac:dyDescent="0.25">
      <c r="A74" s="10" t="s">
        <v>85</v>
      </c>
      <c r="B74" s="10" t="s">
        <v>67</v>
      </c>
      <c r="C74" s="10" t="s">
        <v>88</v>
      </c>
      <c r="D74" s="10" t="s">
        <v>93</v>
      </c>
      <c r="E74" s="10" t="s">
        <v>8</v>
      </c>
      <c r="F74" s="10" t="s">
        <v>52</v>
      </c>
      <c r="G74" s="10">
        <v>250</v>
      </c>
      <c r="H74" s="10">
        <v>100</v>
      </c>
      <c r="I74" s="10">
        <v>0.95</v>
      </c>
      <c r="J74" s="10">
        <v>0.01</v>
      </c>
      <c r="K74" s="10" t="s">
        <v>59</v>
      </c>
      <c r="L74" s="10" t="s">
        <v>49</v>
      </c>
      <c r="M74" s="11" t="s">
        <v>61</v>
      </c>
      <c r="N74" s="10" t="s">
        <v>51</v>
      </c>
      <c r="O74" s="10" t="s">
        <v>414</v>
      </c>
    </row>
    <row r="75" spans="1:15" x14ac:dyDescent="0.25">
      <c r="A75" s="10" t="s">
        <v>85</v>
      </c>
      <c r="B75" s="10" t="s">
        <v>67</v>
      </c>
      <c r="C75" s="10" t="s">
        <v>89</v>
      </c>
      <c r="D75" s="10" t="s">
        <v>94</v>
      </c>
      <c r="E75" s="10" t="s">
        <v>8</v>
      </c>
      <c r="F75" s="10" t="s">
        <v>52</v>
      </c>
      <c r="G75" s="10">
        <v>146</v>
      </c>
      <c r="H75" s="10">
        <v>66</v>
      </c>
      <c r="I75" s="10">
        <v>0.8</v>
      </c>
      <c r="J75" s="10">
        <v>0.05</v>
      </c>
      <c r="K75" s="10" t="s">
        <v>59</v>
      </c>
      <c r="L75" s="10" t="s">
        <v>49</v>
      </c>
      <c r="M75" s="11" t="s">
        <v>61</v>
      </c>
      <c r="N75" s="10" t="s">
        <v>51</v>
      </c>
      <c r="O75" s="10" t="s">
        <v>415</v>
      </c>
    </row>
    <row r="76" spans="1:15" x14ac:dyDescent="0.25">
      <c r="A76" s="10" t="s">
        <v>85</v>
      </c>
      <c r="B76" s="10" t="s">
        <v>67</v>
      </c>
      <c r="C76" s="10" t="s">
        <v>90</v>
      </c>
      <c r="D76" s="10" t="s">
        <v>95</v>
      </c>
      <c r="E76" s="10" t="s">
        <v>8</v>
      </c>
      <c r="F76" s="10" t="s">
        <v>52</v>
      </c>
      <c r="G76" s="10">
        <v>80</v>
      </c>
      <c r="H76" s="10">
        <v>120</v>
      </c>
      <c r="I76" s="10">
        <v>0.8</v>
      </c>
      <c r="J76" s="10">
        <v>0.1</v>
      </c>
      <c r="K76" s="10" t="s">
        <v>59</v>
      </c>
      <c r="L76" s="10" t="s">
        <v>60</v>
      </c>
      <c r="M76" s="11" t="s">
        <v>61</v>
      </c>
      <c r="N76" s="10" t="s">
        <v>51</v>
      </c>
      <c r="O76" s="10" t="s">
        <v>416</v>
      </c>
    </row>
    <row r="77" spans="1:15" x14ac:dyDescent="0.25">
      <c r="A77" s="10" t="s">
        <v>85</v>
      </c>
      <c r="B77" s="10" t="s">
        <v>67</v>
      </c>
      <c r="C77" s="10" t="s">
        <v>96</v>
      </c>
      <c r="D77" s="10" t="s">
        <v>99</v>
      </c>
      <c r="E77" s="10" t="s">
        <v>8</v>
      </c>
      <c r="F77" s="10" t="s">
        <v>52</v>
      </c>
      <c r="G77" s="10">
        <v>250</v>
      </c>
      <c r="H77" s="10">
        <v>100</v>
      </c>
      <c r="I77" s="10">
        <v>0.8</v>
      </c>
      <c r="J77" s="10">
        <v>0.2</v>
      </c>
      <c r="K77" s="10" t="s">
        <v>59</v>
      </c>
      <c r="L77" s="10" t="s">
        <v>49</v>
      </c>
      <c r="M77" s="11" t="s">
        <v>61</v>
      </c>
      <c r="N77" s="10" t="s">
        <v>51</v>
      </c>
      <c r="O77" s="10" t="s">
        <v>417</v>
      </c>
    </row>
    <row r="78" spans="1:15" x14ac:dyDescent="0.25">
      <c r="A78" s="10" t="s">
        <v>85</v>
      </c>
      <c r="B78" s="10" t="s">
        <v>67</v>
      </c>
      <c r="C78" s="10" t="s">
        <v>97</v>
      </c>
      <c r="D78" s="10" t="s">
        <v>100</v>
      </c>
      <c r="E78" s="10" t="s">
        <v>8</v>
      </c>
      <c r="F78" s="10" t="s">
        <v>52</v>
      </c>
      <c r="G78" s="10">
        <v>172</v>
      </c>
      <c r="H78" s="10">
        <v>66</v>
      </c>
      <c r="I78" s="10">
        <v>0.9</v>
      </c>
      <c r="J78" s="10">
        <v>0.01</v>
      </c>
      <c r="K78" s="10" t="s">
        <v>59</v>
      </c>
      <c r="L78" s="10" t="s">
        <v>49</v>
      </c>
      <c r="M78" s="11" t="s">
        <v>50</v>
      </c>
      <c r="N78" s="10" t="s">
        <v>51</v>
      </c>
      <c r="O78" s="10" t="s">
        <v>418</v>
      </c>
    </row>
    <row r="79" spans="1:15" x14ac:dyDescent="0.25">
      <c r="A79" s="10" t="s">
        <v>85</v>
      </c>
      <c r="B79" s="10" t="s">
        <v>67</v>
      </c>
      <c r="C79" s="10" t="s">
        <v>98</v>
      </c>
      <c r="D79" s="10" t="s">
        <v>101</v>
      </c>
      <c r="E79" s="10" t="s">
        <v>8</v>
      </c>
      <c r="F79" s="10" t="s">
        <v>52</v>
      </c>
      <c r="G79" s="10">
        <v>146</v>
      </c>
      <c r="H79" s="10">
        <v>66</v>
      </c>
      <c r="I79" s="10">
        <v>0.8</v>
      </c>
      <c r="J79" s="10">
        <v>0.05</v>
      </c>
      <c r="K79" s="10" t="s">
        <v>59</v>
      </c>
      <c r="L79" s="10" t="s">
        <v>49</v>
      </c>
      <c r="M79" s="11" t="s">
        <v>61</v>
      </c>
      <c r="N79" s="10" t="s">
        <v>51</v>
      </c>
      <c r="O79" s="10" t="s">
        <v>419</v>
      </c>
    </row>
    <row r="80" spans="1:15" x14ac:dyDescent="0.25">
      <c r="A80" s="10" t="s">
        <v>85</v>
      </c>
      <c r="B80" s="10" t="s">
        <v>67</v>
      </c>
      <c r="C80" s="10" t="s">
        <v>102</v>
      </c>
      <c r="D80" s="10" t="s">
        <v>103</v>
      </c>
      <c r="E80" s="10" t="s">
        <v>8</v>
      </c>
      <c r="F80" s="10" t="s">
        <v>52</v>
      </c>
      <c r="G80" s="10">
        <v>146</v>
      </c>
      <c r="H80" s="10">
        <v>66</v>
      </c>
      <c r="I80" s="10">
        <v>0.8</v>
      </c>
      <c r="J80" s="10">
        <v>0.05</v>
      </c>
      <c r="K80" s="10" t="s">
        <v>59</v>
      </c>
      <c r="L80" s="10" t="s">
        <v>49</v>
      </c>
      <c r="M80" s="11" t="s">
        <v>61</v>
      </c>
      <c r="N80" s="10" t="s">
        <v>51</v>
      </c>
      <c r="O80" s="10" t="s">
        <v>420</v>
      </c>
    </row>
    <row r="81" spans="1:15" x14ac:dyDescent="0.25">
      <c r="A81" s="10" t="s">
        <v>85</v>
      </c>
      <c r="B81" s="10" t="s">
        <v>67</v>
      </c>
      <c r="C81" s="10" t="s">
        <v>104</v>
      </c>
      <c r="D81" s="10" t="s">
        <v>105</v>
      </c>
      <c r="E81" s="10" t="s">
        <v>8</v>
      </c>
      <c r="F81" s="10" t="s">
        <v>52</v>
      </c>
      <c r="G81" s="10">
        <v>750</v>
      </c>
      <c r="H81" s="10">
        <v>66</v>
      </c>
      <c r="I81" s="10">
        <v>0.9</v>
      </c>
      <c r="J81" s="10">
        <v>0.01</v>
      </c>
      <c r="K81" s="10" t="s">
        <v>59</v>
      </c>
      <c r="L81" s="10" t="s">
        <v>49</v>
      </c>
      <c r="M81" s="11" t="s">
        <v>61</v>
      </c>
      <c r="N81" s="10" t="s">
        <v>51</v>
      </c>
      <c r="O81" s="10" t="s">
        <v>421</v>
      </c>
    </row>
    <row r="82" spans="1:15" x14ac:dyDescent="0.25">
      <c r="A82" s="10" t="s">
        <v>85</v>
      </c>
      <c r="B82" s="10" t="s">
        <v>67</v>
      </c>
      <c r="C82" s="10" t="s">
        <v>86</v>
      </c>
      <c r="D82" s="10" t="s">
        <v>91</v>
      </c>
      <c r="E82" s="10" t="s">
        <v>110</v>
      </c>
      <c r="F82" s="10" t="s">
        <v>52</v>
      </c>
      <c r="G82" s="10">
        <v>500</v>
      </c>
      <c r="H82" s="10">
        <v>100</v>
      </c>
      <c r="I82" s="10">
        <v>0.9</v>
      </c>
      <c r="J82" s="10">
        <v>0.05</v>
      </c>
      <c r="K82" s="10" t="s">
        <v>59</v>
      </c>
      <c r="L82" s="10" t="s">
        <v>60</v>
      </c>
      <c r="M82" s="11" t="s">
        <v>50</v>
      </c>
      <c r="N82" s="10" t="s">
        <v>51</v>
      </c>
      <c r="O82" s="10" t="s">
        <v>422</v>
      </c>
    </row>
    <row r="83" spans="1:15" x14ac:dyDescent="0.25">
      <c r="A83" s="10" t="s">
        <v>85</v>
      </c>
      <c r="B83" s="10" t="s">
        <v>67</v>
      </c>
      <c r="C83" s="10" t="s">
        <v>87</v>
      </c>
      <c r="D83" s="10" t="s">
        <v>92</v>
      </c>
      <c r="E83" s="10" t="s">
        <v>110</v>
      </c>
      <c r="F83" s="10" t="s">
        <v>52</v>
      </c>
      <c r="G83" s="10">
        <v>2500</v>
      </c>
      <c r="H83" s="10">
        <v>400</v>
      </c>
      <c r="I83" s="10">
        <v>0.9</v>
      </c>
      <c r="J83" s="10">
        <v>0.05</v>
      </c>
      <c r="K83" s="10" t="s">
        <v>48</v>
      </c>
      <c r="L83" s="10" t="s">
        <v>49</v>
      </c>
      <c r="M83" s="11" t="s">
        <v>50</v>
      </c>
      <c r="N83" s="10" t="s">
        <v>62</v>
      </c>
      <c r="O83" s="10" t="s">
        <v>423</v>
      </c>
    </row>
    <row r="84" spans="1:15" x14ac:dyDescent="0.25">
      <c r="A84" s="10" t="s">
        <v>85</v>
      </c>
      <c r="B84" s="10" t="s">
        <v>67</v>
      </c>
      <c r="C84" s="10" t="s">
        <v>88</v>
      </c>
      <c r="D84" s="10" t="s">
        <v>93</v>
      </c>
      <c r="E84" s="10" t="s">
        <v>110</v>
      </c>
      <c r="F84" s="10" t="s">
        <v>52</v>
      </c>
      <c r="G84" s="10">
        <v>2500</v>
      </c>
      <c r="H84" s="10">
        <v>200</v>
      </c>
      <c r="I84" s="10">
        <v>0.85</v>
      </c>
      <c r="J84" s="10">
        <v>0.15</v>
      </c>
      <c r="K84" s="10" t="s">
        <v>59</v>
      </c>
      <c r="L84" s="10" t="s">
        <v>63</v>
      </c>
      <c r="M84" s="11" t="s">
        <v>61</v>
      </c>
      <c r="N84" s="10" t="s">
        <v>51</v>
      </c>
      <c r="O84" s="10" t="s">
        <v>424</v>
      </c>
    </row>
    <row r="85" spans="1:15" x14ac:dyDescent="0.25">
      <c r="A85" s="10" t="s">
        <v>85</v>
      </c>
      <c r="B85" s="10" t="s">
        <v>67</v>
      </c>
      <c r="C85" s="10" t="s">
        <v>89</v>
      </c>
      <c r="D85" s="10" t="s">
        <v>94</v>
      </c>
      <c r="E85" s="10" t="s">
        <v>110</v>
      </c>
      <c r="F85" s="10" t="s">
        <v>52</v>
      </c>
      <c r="G85" s="10">
        <v>5000</v>
      </c>
      <c r="H85" s="10">
        <v>200</v>
      </c>
      <c r="I85" s="10">
        <v>0.8</v>
      </c>
      <c r="J85" s="10">
        <v>0.05</v>
      </c>
      <c r="K85" s="10" t="s">
        <v>59</v>
      </c>
      <c r="L85" s="10" t="s">
        <v>60</v>
      </c>
      <c r="M85" s="11" t="s">
        <v>61</v>
      </c>
      <c r="N85" s="10" t="s">
        <v>51</v>
      </c>
      <c r="O85" s="10" t="s">
        <v>425</v>
      </c>
    </row>
    <row r="86" spans="1:15" x14ac:dyDescent="0.25">
      <c r="A86" s="10" t="s">
        <v>85</v>
      </c>
      <c r="B86" s="10" t="s">
        <v>67</v>
      </c>
      <c r="C86" s="10" t="s">
        <v>90</v>
      </c>
      <c r="D86" s="10" t="s">
        <v>95</v>
      </c>
      <c r="E86" s="10" t="s">
        <v>110</v>
      </c>
      <c r="F86" s="10" t="s">
        <v>52</v>
      </c>
      <c r="G86" s="10">
        <v>2500</v>
      </c>
      <c r="H86" s="10">
        <v>200</v>
      </c>
      <c r="I86" s="10">
        <v>0.7</v>
      </c>
      <c r="J86" s="10">
        <v>0.15</v>
      </c>
      <c r="K86" s="10" t="s">
        <v>48</v>
      </c>
      <c r="L86" s="10" t="s">
        <v>49</v>
      </c>
      <c r="M86" s="11" t="s">
        <v>50</v>
      </c>
      <c r="N86" s="10" t="s">
        <v>51</v>
      </c>
      <c r="O86" s="10" t="s">
        <v>426</v>
      </c>
    </row>
    <row r="87" spans="1:15" x14ac:dyDescent="0.25">
      <c r="A87" s="10" t="s">
        <v>85</v>
      </c>
      <c r="B87" s="10" t="s">
        <v>67</v>
      </c>
      <c r="C87" s="10" t="s">
        <v>96</v>
      </c>
      <c r="D87" s="10" t="s">
        <v>99</v>
      </c>
      <c r="E87" s="10" t="s">
        <v>110</v>
      </c>
      <c r="F87" s="10" t="s">
        <v>52</v>
      </c>
      <c r="G87" s="10">
        <v>500</v>
      </c>
      <c r="H87" s="10">
        <v>200</v>
      </c>
      <c r="I87" s="10">
        <v>0.9</v>
      </c>
      <c r="J87" s="10">
        <v>0.05</v>
      </c>
      <c r="K87" s="10" t="s">
        <v>59</v>
      </c>
      <c r="L87" s="10" t="s">
        <v>63</v>
      </c>
      <c r="M87" s="11" t="s">
        <v>61</v>
      </c>
      <c r="N87" s="10" t="s">
        <v>51</v>
      </c>
      <c r="O87" s="10" t="s">
        <v>427</v>
      </c>
    </row>
    <row r="88" spans="1:15" x14ac:dyDescent="0.25">
      <c r="A88" s="10" t="s">
        <v>85</v>
      </c>
      <c r="B88" s="10" t="s">
        <v>67</v>
      </c>
      <c r="C88" s="10" t="s">
        <v>97</v>
      </c>
      <c r="D88" s="10" t="s">
        <v>100</v>
      </c>
      <c r="E88" s="10" t="s">
        <v>110</v>
      </c>
      <c r="F88" s="10" t="s">
        <v>52</v>
      </c>
      <c r="G88" s="10">
        <v>500</v>
      </c>
      <c r="H88" s="10">
        <v>200</v>
      </c>
      <c r="I88" s="10">
        <v>0.7</v>
      </c>
      <c r="J88" s="10">
        <v>0.2</v>
      </c>
      <c r="K88" s="10" t="s">
        <v>48</v>
      </c>
      <c r="L88" s="10" t="s">
        <v>49</v>
      </c>
      <c r="M88" s="11" t="s">
        <v>50</v>
      </c>
      <c r="N88" s="10" t="s">
        <v>62</v>
      </c>
      <c r="O88" s="10" t="s">
        <v>428</v>
      </c>
    </row>
    <row r="89" spans="1:15" x14ac:dyDescent="0.25">
      <c r="A89" s="10" t="s">
        <v>85</v>
      </c>
      <c r="B89" s="10" t="s">
        <v>67</v>
      </c>
      <c r="C89" s="10" t="s">
        <v>98</v>
      </c>
      <c r="D89" s="10" t="s">
        <v>101</v>
      </c>
      <c r="E89" s="10" t="s">
        <v>110</v>
      </c>
      <c r="F89" s="10" t="s">
        <v>52</v>
      </c>
      <c r="G89" s="10">
        <v>50000</v>
      </c>
      <c r="H89" s="10">
        <v>200</v>
      </c>
      <c r="I89" s="10">
        <v>0.8</v>
      </c>
      <c r="J89" s="10">
        <v>0.2</v>
      </c>
      <c r="K89" s="10" t="s">
        <v>59</v>
      </c>
      <c r="L89" s="10" t="s">
        <v>49</v>
      </c>
      <c r="M89" s="11" t="s">
        <v>61</v>
      </c>
      <c r="N89" s="10" t="s">
        <v>51</v>
      </c>
      <c r="O89" s="10" t="s">
        <v>429</v>
      </c>
    </row>
    <row r="90" spans="1:15" x14ac:dyDescent="0.25">
      <c r="A90" s="10" t="s">
        <v>85</v>
      </c>
      <c r="B90" s="10" t="s">
        <v>67</v>
      </c>
      <c r="C90" s="10" t="s">
        <v>102</v>
      </c>
      <c r="D90" s="10" t="s">
        <v>103</v>
      </c>
      <c r="E90" s="10" t="s">
        <v>110</v>
      </c>
      <c r="F90" s="10" t="s">
        <v>52</v>
      </c>
      <c r="G90" s="10">
        <v>500</v>
      </c>
      <c r="H90" s="10">
        <v>200</v>
      </c>
      <c r="I90" s="10">
        <v>0.9</v>
      </c>
      <c r="J90" s="10">
        <v>0.05</v>
      </c>
      <c r="K90" s="10" t="s">
        <v>59</v>
      </c>
      <c r="L90" s="10" t="s">
        <v>60</v>
      </c>
      <c r="M90" s="11" t="s">
        <v>61</v>
      </c>
      <c r="N90" s="10" t="s">
        <v>51</v>
      </c>
      <c r="O90" s="10" t="s">
        <v>430</v>
      </c>
    </row>
    <row r="91" spans="1:15" x14ac:dyDescent="0.25">
      <c r="A91" s="10" t="s">
        <v>85</v>
      </c>
      <c r="B91" s="10" t="s">
        <v>67</v>
      </c>
      <c r="C91" s="10" t="s">
        <v>104</v>
      </c>
      <c r="D91" s="10" t="s">
        <v>105</v>
      </c>
      <c r="E91" s="10" t="s">
        <v>110</v>
      </c>
      <c r="F91" s="10" t="s">
        <v>52</v>
      </c>
      <c r="G91" s="10">
        <v>200</v>
      </c>
      <c r="H91" s="10">
        <v>50</v>
      </c>
      <c r="I91" s="10">
        <v>0.7</v>
      </c>
      <c r="J91" s="10">
        <v>0.2</v>
      </c>
      <c r="K91" s="10" t="s">
        <v>48</v>
      </c>
      <c r="L91" s="10" t="s">
        <v>49</v>
      </c>
      <c r="M91" s="11" t="s">
        <v>50</v>
      </c>
      <c r="N91" s="10" t="s">
        <v>62</v>
      </c>
      <c r="O91" s="10" t="s">
        <v>431</v>
      </c>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58A0D-9B4B-4E48-82E7-0DCB21E4E140}">
  <dimension ref="A1:K91"/>
  <sheetViews>
    <sheetView workbookViewId="0">
      <selection activeCell="A52" sqref="A52:XFD61"/>
    </sheetView>
  </sheetViews>
  <sheetFormatPr defaultColWidth="11" defaultRowHeight="15.75" x14ac:dyDescent="0.25"/>
  <cols>
    <col min="7" max="7" width="14.5" bestFit="1" customWidth="1"/>
  </cols>
  <sheetData>
    <row r="1" spans="1:11" x14ac:dyDescent="0.25">
      <c r="A1" t="s">
        <v>0</v>
      </c>
      <c r="B1" t="s">
        <v>39</v>
      </c>
      <c r="C1" t="s">
        <v>1</v>
      </c>
      <c r="D1" t="s">
        <v>108</v>
      </c>
      <c r="E1" t="s">
        <v>3</v>
      </c>
      <c r="F1" t="s">
        <v>37</v>
      </c>
      <c r="G1" t="s">
        <v>40</v>
      </c>
      <c r="H1" t="s">
        <v>41</v>
      </c>
      <c r="I1" t="s">
        <v>54</v>
      </c>
      <c r="J1" t="s">
        <v>55</v>
      </c>
      <c r="K1" t="s">
        <v>106</v>
      </c>
    </row>
    <row r="2" spans="1:11" x14ac:dyDescent="0.25">
      <c r="A2" t="s">
        <v>85</v>
      </c>
      <c r="B2" t="s">
        <v>69</v>
      </c>
      <c r="C2" t="s">
        <v>86</v>
      </c>
      <c r="D2" t="s">
        <v>91</v>
      </c>
      <c r="E2" t="s">
        <v>107</v>
      </c>
      <c r="F2" t="s">
        <v>38</v>
      </c>
      <c r="G2">
        <v>5000</v>
      </c>
      <c r="H2">
        <v>20</v>
      </c>
      <c r="I2">
        <v>100</v>
      </c>
      <c r="J2">
        <v>1</v>
      </c>
      <c r="K2" t="str" cm="1">
        <f t="array" ref="K2">CONCATENATE("I'm using mealpy library to solve Graph Coloring Problem. My problem instance has  ", _xlfn.CHOOSECOLS(_xlfn.TEXTSPLIT(D2," "),1)," nodes and ", _xlfn.CHOOSECOLS(_xlfn.TEXTSPLIT(D2,"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11 nodes and 20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3" spans="1:11" x14ac:dyDescent="0.25">
      <c r="A3" t="s">
        <v>85</v>
      </c>
      <c r="B3" t="s">
        <v>69</v>
      </c>
      <c r="C3" t="s">
        <v>87</v>
      </c>
      <c r="D3" t="s">
        <v>92</v>
      </c>
      <c r="E3" t="s">
        <v>107</v>
      </c>
      <c r="F3" t="s">
        <v>38</v>
      </c>
      <c r="G3">
        <v>10000</v>
      </c>
      <c r="H3">
        <v>50</v>
      </c>
      <c r="I3">
        <v>100</v>
      </c>
      <c r="J3">
        <v>5</v>
      </c>
      <c r="K3" t="str" cm="1">
        <f t="array" ref="K3">CONCATENATE("I'm using mealpy library to solve Graph Coloring Problem. My problem instance has  ", _xlfn.CHOOSECOLS(_xlfn.TEXTSPLIT(D3," "),1)," nodes and ", _xlfn.CHOOSECOLS(_xlfn.TEXTSPLIT(D3,"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23 nodes and 71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4" spans="1:11" x14ac:dyDescent="0.25">
      <c r="A4" t="s">
        <v>85</v>
      </c>
      <c r="B4" t="s">
        <v>69</v>
      </c>
      <c r="C4" t="s">
        <v>88</v>
      </c>
      <c r="D4" s="5" t="s">
        <v>93</v>
      </c>
      <c r="E4" t="s">
        <v>107</v>
      </c>
      <c r="F4" t="s">
        <v>38</v>
      </c>
      <c r="G4">
        <v>10000</v>
      </c>
      <c r="H4">
        <v>50</v>
      </c>
      <c r="I4">
        <v>1000</v>
      </c>
      <c r="J4">
        <v>5</v>
      </c>
      <c r="K4" t="str" cm="1">
        <f t="array" ref="K4">CONCATENATE("I'm using mealpy library to solve Graph Coloring Problem. My problem instance has  ", _xlfn.CHOOSECOLS(_xlfn.TEXTSPLIT(D4," "),1)," nodes and ", _xlfn.CHOOSECOLS(_xlfn.TEXTSPLIT(D4,"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47 nodes and 236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5" spans="1:11" x14ac:dyDescent="0.25">
      <c r="A5" t="s">
        <v>85</v>
      </c>
      <c r="B5" t="s">
        <v>69</v>
      </c>
      <c r="C5" t="s">
        <v>89</v>
      </c>
      <c r="D5" s="5" t="s">
        <v>94</v>
      </c>
      <c r="E5" t="s">
        <v>107</v>
      </c>
      <c r="F5" t="s">
        <v>38</v>
      </c>
      <c r="G5">
        <v>10000</v>
      </c>
      <c r="H5">
        <v>50</v>
      </c>
      <c r="I5">
        <v>1000</v>
      </c>
      <c r="J5">
        <v>5</v>
      </c>
      <c r="K5" t="str" cm="1">
        <f t="array" ref="K5">CONCATENATE("I'm using mealpy library to solve Graph Coloring Problem. My problem instance has  ", _xlfn.CHOOSECOLS(_xlfn.TEXTSPLIT(D5," "),1)," nodes and ", _xlfn.CHOOSECOLS(_xlfn.TEXTSPLIT(D5,"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95 nodes and 755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6" spans="1:11" x14ac:dyDescent="0.25">
      <c r="A6" t="s">
        <v>85</v>
      </c>
      <c r="B6" t="s">
        <v>69</v>
      </c>
      <c r="C6" t="s">
        <v>90</v>
      </c>
      <c r="D6" s="5" t="s">
        <v>95</v>
      </c>
      <c r="E6" t="s">
        <v>107</v>
      </c>
      <c r="F6" t="s">
        <v>38</v>
      </c>
      <c r="G6">
        <v>10000</v>
      </c>
      <c r="H6">
        <v>50</v>
      </c>
      <c r="I6">
        <v>1000</v>
      </c>
      <c r="J6">
        <v>10</v>
      </c>
      <c r="K6" t="str" cm="1">
        <f t="array" ref="K6">CONCATENATE("I'm using mealpy library to solve Graph Coloring Problem. My problem instance has  ", _xlfn.CHOOSECOLS(_xlfn.TEXTSPLIT(D6," "),1)," nodes and ", _xlfn.CHOOSECOLS(_xlfn.TEXTSPLIT(D6,"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191 nodes and 2360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7" spans="1:11" x14ac:dyDescent="0.25">
      <c r="A7" t="s">
        <v>85</v>
      </c>
      <c r="B7" t="s">
        <v>69</v>
      </c>
      <c r="C7" t="s">
        <v>96</v>
      </c>
      <c r="D7" s="5" t="s">
        <v>99</v>
      </c>
      <c r="E7" t="s">
        <v>107</v>
      </c>
      <c r="F7" t="s">
        <v>38</v>
      </c>
      <c r="G7">
        <v>10000</v>
      </c>
      <c r="H7">
        <v>50</v>
      </c>
      <c r="I7">
        <v>100</v>
      </c>
      <c r="J7">
        <v>10</v>
      </c>
      <c r="K7" t="str" cm="1">
        <f t="array" ref="K7">CONCATENATE("I'm using mealpy library to solve Graph Coloring Problem. My problem instance has  ", _xlfn.CHOOSECOLS(_xlfn.TEXTSPLIT(D7," "),1)," nodes and ", _xlfn.CHOOSECOLS(_xlfn.TEXTSPLIT(D7,"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25 nodes and 160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8" spans="1:11" x14ac:dyDescent="0.25">
      <c r="A8" t="s">
        <v>85</v>
      </c>
      <c r="B8" t="s">
        <v>69</v>
      </c>
      <c r="C8" t="s">
        <v>97</v>
      </c>
      <c r="D8" s="5" t="s">
        <v>100</v>
      </c>
      <c r="E8" t="s">
        <v>107</v>
      </c>
      <c r="F8" t="s">
        <v>38</v>
      </c>
      <c r="G8">
        <v>10000</v>
      </c>
      <c r="H8">
        <v>50</v>
      </c>
      <c r="I8">
        <v>1000</v>
      </c>
      <c r="J8">
        <v>10</v>
      </c>
      <c r="K8" t="str" cm="1">
        <f t="array" ref="K8">CONCATENATE("I'm using mealpy library to solve Graph Coloring Problem. My problem instance has  ", _xlfn.CHOOSECOLS(_xlfn.TEXTSPLIT(D8," "),1)," nodes and ", _xlfn.CHOOSECOLS(_xlfn.TEXTSPLIT(D8,"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36 nodes and 290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9" spans="1:11" x14ac:dyDescent="0.25">
      <c r="A9" t="s">
        <v>85</v>
      </c>
      <c r="B9" t="s">
        <v>69</v>
      </c>
      <c r="C9" t="s">
        <v>98</v>
      </c>
      <c r="D9" s="5" t="s">
        <v>101</v>
      </c>
      <c r="E9" t="s">
        <v>107</v>
      </c>
      <c r="F9" t="s">
        <v>38</v>
      </c>
      <c r="G9">
        <v>5000</v>
      </c>
      <c r="H9">
        <v>50</v>
      </c>
      <c r="I9">
        <v>1000</v>
      </c>
      <c r="J9">
        <v>5</v>
      </c>
      <c r="K9" t="str" cm="1">
        <f t="array" ref="K9">CONCATENATE("I'm using mealpy library to solve Graph Coloring Problem. My problem instance has  ", _xlfn.CHOOSECOLS(_xlfn.TEXTSPLIT(D9," "),1)," nodes and ", _xlfn.CHOOSECOLS(_xlfn.TEXTSPLIT(D9,"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49 nodes and 476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10" spans="1:11" x14ac:dyDescent="0.25">
      <c r="A10" t="s">
        <v>85</v>
      </c>
      <c r="B10" t="s">
        <v>69</v>
      </c>
      <c r="C10" t="s">
        <v>102</v>
      </c>
      <c r="D10" s="5" t="s">
        <v>103</v>
      </c>
      <c r="E10" t="s">
        <v>107</v>
      </c>
      <c r="F10" t="s">
        <v>38</v>
      </c>
      <c r="G10">
        <v>10000</v>
      </c>
      <c r="H10">
        <v>50</v>
      </c>
      <c r="I10">
        <v>1000</v>
      </c>
      <c r="J10">
        <v>5</v>
      </c>
      <c r="K10" t="str" cm="1">
        <f t="array" ref="K10">CONCATENATE("I'm using mealpy library to solve Graph Coloring Problem. My problem instance has  ", _xlfn.CHOOSECOLS(_xlfn.TEXTSPLIT(D10," "),1)," nodes and ", _xlfn.CHOOSECOLS(_xlfn.TEXTSPLIT(D10,"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64 nodes and 728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11" spans="1:11" x14ac:dyDescent="0.25">
      <c r="A11" t="s">
        <v>85</v>
      </c>
      <c r="B11" t="s">
        <v>69</v>
      </c>
      <c r="C11" t="s">
        <v>104</v>
      </c>
      <c r="D11" s="5" t="s">
        <v>105</v>
      </c>
      <c r="E11" t="s">
        <v>107</v>
      </c>
      <c r="F11" t="s">
        <v>38</v>
      </c>
      <c r="G11">
        <v>10000</v>
      </c>
      <c r="H11">
        <v>50</v>
      </c>
      <c r="I11">
        <v>1000</v>
      </c>
      <c r="J11">
        <v>5</v>
      </c>
      <c r="K11" t="str" cm="1">
        <f t="array" ref="K11">CONCATENATE("I'm using mealpy library to solve Graph Coloring Problem. My problem instance has  ", _xlfn.CHOOSECOLS(_xlfn.TEXTSPLIT(D11," "),1)," nodes and ", _xlfn.CHOOSECOLS(_xlfn.TEXTSPLIT(D11,"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81 nodes and 2112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12" spans="1:11" x14ac:dyDescent="0.25">
      <c r="A12" t="s">
        <v>85</v>
      </c>
      <c r="B12" t="s">
        <v>69</v>
      </c>
      <c r="C12" t="s">
        <v>86</v>
      </c>
      <c r="D12" t="s">
        <v>91</v>
      </c>
      <c r="E12" t="s">
        <v>109</v>
      </c>
      <c r="F12" t="s">
        <v>38</v>
      </c>
      <c r="G12">
        <v>10000</v>
      </c>
      <c r="H12">
        <v>50</v>
      </c>
      <c r="I12">
        <v>100</v>
      </c>
      <c r="J12">
        <v>1</v>
      </c>
      <c r="K12" t="str" cm="1">
        <f t="array" ref="K12">CONCATENATE("I'm using mealpy library to solve Graph Coloring Problem. My problem instance has  ", _xlfn.CHOOSECOLS(_xlfn.TEXTSPLIT(D12," "),1)," nodes and ", _xlfn.CHOOSECOLS(_xlfn.TEXTSPLIT(D12,"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11 nodes and 20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13" spans="1:11" x14ac:dyDescent="0.25">
      <c r="A13" t="s">
        <v>85</v>
      </c>
      <c r="B13" t="s">
        <v>69</v>
      </c>
      <c r="C13" t="s">
        <v>87</v>
      </c>
      <c r="D13" t="s">
        <v>92</v>
      </c>
      <c r="E13" t="s">
        <v>109</v>
      </c>
      <c r="F13" t="s">
        <v>38</v>
      </c>
      <c r="G13">
        <v>10000</v>
      </c>
      <c r="H13">
        <v>50</v>
      </c>
      <c r="I13">
        <v>100</v>
      </c>
      <c r="J13">
        <v>1</v>
      </c>
      <c r="K13" t="str" cm="1">
        <f t="array" ref="K13">CONCATENATE("I'm using mealpy library to solve Graph Coloring Problem. My problem instance has  ", _xlfn.CHOOSECOLS(_xlfn.TEXTSPLIT(D13," "),1)," nodes and ", _xlfn.CHOOSECOLS(_xlfn.TEXTSPLIT(D13,"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23 nodes and 71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14" spans="1:11" x14ac:dyDescent="0.25">
      <c r="A14" t="s">
        <v>85</v>
      </c>
      <c r="B14" t="s">
        <v>69</v>
      </c>
      <c r="C14" t="s">
        <v>88</v>
      </c>
      <c r="D14" s="5" t="s">
        <v>93</v>
      </c>
      <c r="E14" t="s">
        <v>109</v>
      </c>
      <c r="F14" t="s">
        <v>38</v>
      </c>
      <c r="G14">
        <v>100000</v>
      </c>
      <c r="H14">
        <v>50</v>
      </c>
      <c r="I14">
        <v>1000</v>
      </c>
      <c r="J14">
        <v>10</v>
      </c>
      <c r="K14" t="str" cm="1">
        <f t="array" ref="K14">CONCATENATE("I'm using mealpy library to solve Graph Coloring Problem. My problem instance has  ", _xlfn.CHOOSECOLS(_xlfn.TEXTSPLIT(D14," "),1)," nodes and ", _xlfn.CHOOSECOLS(_xlfn.TEXTSPLIT(D14,"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47 nodes and 236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15" spans="1:11" x14ac:dyDescent="0.25">
      <c r="A15" t="s">
        <v>85</v>
      </c>
      <c r="B15" t="s">
        <v>69</v>
      </c>
      <c r="C15" t="s">
        <v>89</v>
      </c>
      <c r="D15" s="5" t="s">
        <v>94</v>
      </c>
      <c r="E15" t="s">
        <v>109</v>
      </c>
      <c r="F15" t="s">
        <v>38</v>
      </c>
      <c r="G15">
        <v>5000</v>
      </c>
      <c r="H15">
        <v>50</v>
      </c>
      <c r="I15">
        <v>1000</v>
      </c>
      <c r="J15">
        <v>10</v>
      </c>
      <c r="K15" t="str" cm="1">
        <f t="array" ref="K15">CONCATENATE("I'm using mealpy library to solve Graph Coloring Problem. My problem instance has  ", _xlfn.CHOOSECOLS(_xlfn.TEXTSPLIT(D15," "),1)," nodes and ", _xlfn.CHOOSECOLS(_xlfn.TEXTSPLIT(D15,"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95 nodes and 755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16" spans="1:11" x14ac:dyDescent="0.25">
      <c r="A16" t="s">
        <v>85</v>
      </c>
      <c r="B16" t="s">
        <v>69</v>
      </c>
      <c r="C16" t="s">
        <v>90</v>
      </c>
      <c r="D16" s="5" t="s">
        <v>95</v>
      </c>
      <c r="E16" t="s">
        <v>109</v>
      </c>
      <c r="F16" t="s">
        <v>38</v>
      </c>
      <c r="G16">
        <v>50000</v>
      </c>
      <c r="H16">
        <v>50</v>
      </c>
      <c r="I16">
        <v>1000</v>
      </c>
      <c r="J16">
        <v>10</v>
      </c>
      <c r="K16" t="str" cm="1">
        <f t="array" ref="K16">CONCATENATE("I'm using mealpy library to solve Graph Coloring Problem. My problem instance has  ", _xlfn.CHOOSECOLS(_xlfn.TEXTSPLIT(D16," "),1)," nodes and ", _xlfn.CHOOSECOLS(_xlfn.TEXTSPLIT(D16,"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191 nodes and 2360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17" spans="1:11" x14ac:dyDescent="0.25">
      <c r="A17" t="s">
        <v>85</v>
      </c>
      <c r="B17" t="s">
        <v>69</v>
      </c>
      <c r="C17" t="s">
        <v>96</v>
      </c>
      <c r="D17" s="5" t="s">
        <v>99</v>
      </c>
      <c r="E17" t="s">
        <v>109</v>
      </c>
      <c r="F17" t="s">
        <v>38</v>
      </c>
      <c r="G17">
        <v>50000</v>
      </c>
      <c r="H17">
        <v>50</v>
      </c>
      <c r="I17">
        <v>1000</v>
      </c>
      <c r="J17">
        <v>1</v>
      </c>
      <c r="K17" t="str" cm="1">
        <f t="array" ref="K17">CONCATENATE("I'm using mealpy library to solve Graph Coloring Problem. My problem instance has  ", _xlfn.CHOOSECOLS(_xlfn.TEXTSPLIT(D17," "),1)," nodes and ", _xlfn.CHOOSECOLS(_xlfn.TEXTSPLIT(D17,"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25 nodes and 160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18" spans="1:11" x14ac:dyDescent="0.25">
      <c r="A18" t="s">
        <v>85</v>
      </c>
      <c r="B18" t="s">
        <v>69</v>
      </c>
      <c r="C18" t="s">
        <v>97</v>
      </c>
      <c r="D18" s="5" t="s">
        <v>100</v>
      </c>
      <c r="E18" t="s">
        <v>109</v>
      </c>
      <c r="F18" t="s">
        <v>38</v>
      </c>
      <c r="G18">
        <v>10000</v>
      </c>
      <c r="H18">
        <v>50</v>
      </c>
      <c r="I18">
        <v>1000</v>
      </c>
      <c r="J18">
        <v>5</v>
      </c>
      <c r="K18" t="str" cm="1">
        <f t="array" ref="K18">CONCATENATE("I'm using mealpy library to solve Graph Coloring Problem. My problem instance has  ", _xlfn.CHOOSECOLS(_xlfn.TEXTSPLIT(D18," "),1)," nodes and ", _xlfn.CHOOSECOLS(_xlfn.TEXTSPLIT(D18,"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36 nodes and 290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19" spans="1:11" x14ac:dyDescent="0.25">
      <c r="A19" t="s">
        <v>85</v>
      </c>
      <c r="B19" t="s">
        <v>69</v>
      </c>
      <c r="C19" t="s">
        <v>98</v>
      </c>
      <c r="D19" s="5" t="s">
        <v>101</v>
      </c>
      <c r="E19" t="s">
        <v>109</v>
      </c>
      <c r="F19" t="s">
        <v>38</v>
      </c>
      <c r="G19">
        <v>50000</v>
      </c>
      <c r="H19">
        <v>50</v>
      </c>
      <c r="I19">
        <v>1000</v>
      </c>
      <c r="J19">
        <v>5</v>
      </c>
      <c r="K19" t="str" cm="1">
        <f t="array" ref="K19">CONCATENATE("I'm using mealpy library to solve Graph Coloring Problem. My problem instance has  ", _xlfn.CHOOSECOLS(_xlfn.TEXTSPLIT(D19," "),1)," nodes and ", _xlfn.CHOOSECOLS(_xlfn.TEXTSPLIT(D19,"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49 nodes and 476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20" spans="1:11" x14ac:dyDescent="0.25">
      <c r="A20" t="s">
        <v>85</v>
      </c>
      <c r="B20" t="s">
        <v>69</v>
      </c>
      <c r="C20" t="s">
        <v>102</v>
      </c>
      <c r="D20" s="5" t="s">
        <v>103</v>
      </c>
      <c r="E20" t="s">
        <v>109</v>
      </c>
      <c r="F20" t="s">
        <v>38</v>
      </c>
      <c r="G20">
        <v>10000</v>
      </c>
      <c r="H20">
        <v>50</v>
      </c>
      <c r="I20">
        <v>100</v>
      </c>
      <c r="J20">
        <v>1</v>
      </c>
      <c r="K20" t="str" cm="1">
        <f t="array" ref="K20">CONCATENATE("I'm using mealpy library to solve Graph Coloring Problem. My problem instance has  ", _xlfn.CHOOSECOLS(_xlfn.TEXTSPLIT(D20," "),1)," nodes and ", _xlfn.CHOOSECOLS(_xlfn.TEXTSPLIT(D20,"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64 nodes and 728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21" spans="1:11" x14ac:dyDescent="0.25">
      <c r="A21" t="s">
        <v>85</v>
      </c>
      <c r="B21" t="s">
        <v>69</v>
      </c>
      <c r="C21" t="s">
        <v>104</v>
      </c>
      <c r="D21" s="5" t="s">
        <v>105</v>
      </c>
      <c r="E21" t="s">
        <v>109</v>
      </c>
      <c r="F21" t="s">
        <v>38</v>
      </c>
      <c r="G21">
        <v>50000</v>
      </c>
      <c r="H21">
        <v>50</v>
      </c>
      <c r="I21">
        <v>1000</v>
      </c>
      <c r="J21">
        <v>5</v>
      </c>
      <c r="K21" t="str" cm="1">
        <f t="array" ref="K21">CONCATENATE("I'm using mealpy library to solve Graph Coloring Problem. My problem instance has  ", _xlfn.CHOOSECOLS(_xlfn.TEXTSPLIT(D21," "),1)," nodes and ", _xlfn.CHOOSECOLS(_xlfn.TEXTSPLIT(D21,"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81 nodes and 2112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22" spans="1:11" x14ac:dyDescent="0.25">
      <c r="A22" t="s">
        <v>85</v>
      </c>
      <c r="B22" t="s">
        <v>69</v>
      </c>
      <c r="C22" t="s">
        <v>86</v>
      </c>
      <c r="D22" t="s">
        <v>91</v>
      </c>
      <c r="E22" t="s">
        <v>8</v>
      </c>
      <c r="F22" t="s">
        <v>38</v>
      </c>
      <c r="G22">
        <v>500</v>
      </c>
      <c r="H22">
        <v>10</v>
      </c>
      <c r="I22">
        <v>100</v>
      </c>
      <c r="J22">
        <v>5</v>
      </c>
      <c r="K22" t="str" cm="1">
        <f t="array" ref="K22">CONCATENATE("I'm using mealpy library to solve Graph Coloring Problem. My problem instance has  ", _xlfn.CHOOSECOLS(_xlfn.TEXTSPLIT(D22," "),1)," nodes and ", _xlfn.CHOOSECOLS(_xlfn.TEXTSPLIT(D22,"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11 nodes and 20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23" spans="1:11" x14ac:dyDescent="0.25">
      <c r="A23" t="s">
        <v>85</v>
      </c>
      <c r="B23" t="s">
        <v>69</v>
      </c>
      <c r="C23" t="s">
        <v>87</v>
      </c>
      <c r="D23" t="s">
        <v>92</v>
      </c>
      <c r="E23" t="s">
        <v>8</v>
      </c>
      <c r="F23" t="s">
        <v>38</v>
      </c>
      <c r="G23">
        <v>500</v>
      </c>
      <c r="H23">
        <v>23</v>
      </c>
      <c r="I23">
        <v>100</v>
      </c>
      <c r="J23">
        <v>5</v>
      </c>
      <c r="K23" t="str" cm="1">
        <f t="array" ref="K23">CONCATENATE("I'm using mealpy library to solve Graph Coloring Problem. My problem instance has  ", _xlfn.CHOOSECOLS(_xlfn.TEXTSPLIT(D23," "),1)," nodes and ", _xlfn.CHOOSECOLS(_xlfn.TEXTSPLIT(D23,"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23 nodes and 71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24" spans="1:11" x14ac:dyDescent="0.25">
      <c r="A24" t="s">
        <v>85</v>
      </c>
      <c r="B24" t="s">
        <v>69</v>
      </c>
      <c r="C24" t="s">
        <v>88</v>
      </c>
      <c r="D24" s="5" t="s">
        <v>93</v>
      </c>
      <c r="E24" t="s">
        <v>8</v>
      </c>
      <c r="F24" t="s">
        <v>38</v>
      </c>
      <c r="G24">
        <v>500</v>
      </c>
      <c r="H24">
        <v>50</v>
      </c>
      <c r="I24">
        <v>100</v>
      </c>
      <c r="J24">
        <v>5</v>
      </c>
      <c r="K24" t="str" cm="1">
        <f t="array" ref="K24">CONCATENATE("I'm using mealpy library to solve Graph Coloring Problem. My problem instance has  ", _xlfn.CHOOSECOLS(_xlfn.TEXTSPLIT(D24," "),1)," nodes and ", _xlfn.CHOOSECOLS(_xlfn.TEXTSPLIT(D24,"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47 nodes and 236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25" spans="1:11" x14ac:dyDescent="0.25">
      <c r="A25" t="s">
        <v>85</v>
      </c>
      <c r="B25" t="s">
        <v>69</v>
      </c>
      <c r="C25" t="s">
        <v>89</v>
      </c>
      <c r="D25" s="5" t="s">
        <v>94</v>
      </c>
      <c r="E25" t="s">
        <v>8</v>
      </c>
      <c r="F25" t="s">
        <v>38</v>
      </c>
      <c r="G25">
        <v>500</v>
      </c>
      <c r="H25">
        <v>50</v>
      </c>
      <c r="I25">
        <v>100</v>
      </c>
      <c r="J25">
        <v>10</v>
      </c>
      <c r="K25" t="str" cm="1">
        <f t="array" ref="K25">CONCATENATE("I'm using mealpy library to solve Graph Coloring Problem. My problem instance has  ", _xlfn.CHOOSECOLS(_xlfn.TEXTSPLIT(D25," "),1)," nodes and ", _xlfn.CHOOSECOLS(_xlfn.TEXTSPLIT(D25,"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95 nodes and 755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26" spans="1:11" x14ac:dyDescent="0.25">
      <c r="A26" t="s">
        <v>85</v>
      </c>
      <c r="B26" t="s">
        <v>69</v>
      </c>
      <c r="C26" t="s">
        <v>90</v>
      </c>
      <c r="D26" s="5" t="s">
        <v>95</v>
      </c>
      <c r="E26" t="s">
        <v>8</v>
      </c>
      <c r="F26" t="s">
        <v>38</v>
      </c>
      <c r="G26">
        <v>500</v>
      </c>
      <c r="H26">
        <v>100</v>
      </c>
      <c r="I26">
        <v>1000</v>
      </c>
      <c r="J26">
        <v>50</v>
      </c>
      <c r="K26" t="str" cm="1">
        <f t="array" ref="K26">CONCATENATE("I'm using mealpy library to solve Graph Coloring Problem. My problem instance has  ", _xlfn.CHOOSECOLS(_xlfn.TEXTSPLIT(D26," "),1)," nodes and ", _xlfn.CHOOSECOLS(_xlfn.TEXTSPLIT(D26,"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191 nodes and 2360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27" spans="1:11" x14ac:dyDescent="0.25">
      <c r="A27" t="s">
        <v>85</v>
      </c>
      <c r="B27" t="s">
        <v>69</v>
      </c>
      <c r="C27" t="s">
        <v>96</v>
      </c>
      <c r="D27" s="5" t="s">
        <v>99</v>
      </c>
      <c r="E27" t="s">
        <v>8</v>
      </c>
      <c r="F27" t="s">
        <v>38</v>
      </c>
      <c r="G27">
        <v>500</v>
      </c>
      <c r="H27">
        <v>25</v>
      </c>
      <c r="I27">
        <v>100</v>
      </c>
      <c r="J27">
        <v>5</v>
      </c>
      <c r="K27" t="str" cm="1">
        <f t="array" ref="K27">CONCATENATE("I'm using mealpy library to solve Graph Coloring Problem. My problem instance has  ", _xlfn.CHOOSECOLS(_xlfn.TEXTSPLIT(D27," "),1)," nodes and ", _xlfn.CHOOSECOLS(_xlfn.TEXTSPLIT(D27,"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25 nodes and 160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28" spans="1:11" x14ac:dyDescent="0.25">
      <c r="A28" t="s">
        <v>85</v>
      </c>
      <c r="B28" t="s">
        <v>69</v>
      </c>
      <c r="C28" t="s">
        <v>97</v>
      </c>
      <c r="D28" s="5" t="s">
        <v>100</v>
      </c>
      <c r="E28" t="s">
        <v>8</v>
      </c>
      <c r="F28" t="s">
        <v>38</v>
      </c>
      <c r="G28">
        <v>500</v>
      </c>
      <c r="H28">
        <v>36</v>
      </c>
      <c r="I28">
        <v>100</v>
      </c>
      <c r="J28">
        <v>10</v>
      </c>
      <c r="K28" t="str" cm="1">
        <f t="array" ref="K28">CONCATENATE("I'm using mealpy library to solve Graph Coloring Problem. My problem instance has  ", _xlfn.CHOOSECOLS(_xlfn.TEXTSPLIT(D28," "),1)," nodes and ", _xlfn.CHOOSECOLS(_xlfn.TEXTSPLIT(D28,"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36 nodes and 290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29" spans="1:11" x14ac:dyDescent="0.25">
      <c r="A29" t="s">
        <v>85</v>
      </c>
      <c r="B29" t="s">
        <v>69</v>
      </c>
      <c r="C29" t="s">
        <v>98</v>
      </c>
      <c r="D29" s="5" t="s">
        <v>101</v>
      </c>
      <c r="E29" t="s">
        <v>8</v>
      </c>
      <c r="F29" t="s">
        <v>38</v>
      </c>
      <c r="G29">
        <v>500</v>
      </c>
      <c r="H29">
        <v>50</v>
      </c>
      <c r="I29">
        <v>100</v>
      </c>
      <c r="J29">
        <v>5</v>
      </c>
      <c r="K29" t="str" cm="1">
        <f t="array" ref="K29">CONCATENATE("I'm using mealpy library to solve Graph Coloring Problem. My problem instance has  ", _xlfn.CHOOSECOLS(_xlfn.TEXTSPLIT(D29," "),1)," nodes and ", _xlfn.CHOOSECOLS(_xlfn.TEXTSPLIT(D29,"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49 nodes and 476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30" spans="1:11" x14ac:dyDescent="0.25">
      <c r="A30" t="s">
        <v>85</v>
      </c>
      <c r="B30" t="s">
        <v>69</v>
      </c>
      <c r="C30" t="s">
        <v>102</v>
      </c>
      <c r="D30" s="5" t="s">
        <v>103</v>
      </c>
      <c r="E30" t="s">
        <v>8</v>
      </c>
      <c r="F30" t="s">
        <v>38</v>
      </c>
      <c r="G30">
        <v>500</v>
      </c>
      <c r="H30">
        <v>50</v>
      </c>
      <c r="I30">
        <v>100</v>
      </c>
      <c r="J30">
        <v>10</v>
      </c>
      <c r="K30" t="str" cm="1">
        <f t="array" ref="K30">CONCATENATE("I'm using mealpy library to solve Graph Coloring Problem. My problem instance has  ", _xlfn.CHOOSECOLS(_xlfn.TEXTSPLIT(D30," "),1)," nodes and ", _xlfn.CHOOSECOLS(_xlfn.TEXTSPLIT(D30,"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64 nodes and 728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31" spans="1:11" x14ac:dyDescent="0.25">
      <c r="A31" t="s">
        <v>85</v>
      </c>
      <c r="B31" t="s">
        <v>69</v>
      </c>
      <c r="C31" t="s">
        <v>104</v>
      </c>
      <c r="D31" s="5" t="s">
        <v>105</v>
      </c>
      <c r="E31" t="s">
        <v>8</v>
      </c>
      <c r="F31" t="s">
        <v>38</v>
      </c>
      <c r="G31">
        <v>500</v>
      </c>
      <c r="H31">
        <v>50</v>
      </c>
      <c r="I31">
        <v>100</v>
      </c>
      <c r="J31">
        <v>10</v>
      </c>
      <c r="K31" t="str" cm="1">
        <f t="array" ref="K31">CONCATENATE("I'm using mealpy library to solve Graph Coloring Problem. My problem instance has  ", _xlfn.CHOOSECOLS(_xlfn.TEXTSPLIT(D31," "),1)," nodes and ", _xlfn.CHOOSECOLS(_xlfn.TEXTSPLIT(D31,"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81 nodes and 2112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32" spans="1:11" x14ac:dyDescent="0.25">
      <c r="A32" t="s">
        <v>85</v>
      </c>
      <c r="B32" t="s">
        <v>69</v>
      </c>
      <c r="C32" t="s">
        <v>86</v>
      </c>
      <c r="D32" t="s">
        <v>91</v>
      </c>
      <c r="E32" t="s">
        <v>110</v>
      </c>
      <c r="F32" t="s">
        <v>38</v>
      </c>
      <c r="G32">
        <v>5000</v>
      </c>
      <c r="H32">
        <v>10</v>
      </c>
      <c r="I32">
        <v>1000</v>
      </c>
      <c r="J32">
        <v>0.9</v>
      </c>
      <c r="K32" t="str" cm="1">
        <f t="array" ref="K32">CONCATENATE("I'm using mealpy library to solve Graph Coloring Problem. My problem instance has  ", _xlfn.CHOOSECOLS(_xlfn.TEXTSPLIT(D32," "),1)," nodes and ", _xlfn.CHOOSECOLS(_xlfn.TEXTSPLIT(D32,"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11 nodes and 20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33" spans="1:11" x14ac:dyDescent="0.25">
      <c r="A33" t="s">
        <v>85</v>
      </c>
      <c r="B33" t="s">
        <v>69</v>
      </c>
      <c r="C33" t="s">
        <v>87</v>
      </c>
      <c r="D33" t="s">
        <v>92</v>
      </c>
      <c r="E33" t="s">
        <v>110</v>
      </c>
      <c r="F33" t="s">
        <v>38</v>
      </c>
      <c r="G33">
        <v>10000</v>
      </c>
      <c r="H33">
        <v>50</v>
      </c>
      <c r="I33">
        <v>100</v>
      </c>
      <c r="J33">
        <v>10</v>
      </c>
      <c r="K33" t="str" cm="1">
        <f t="array" ref="K33">CONCATENATE("I'm using mealpy library to solve Graph Coloring Problem. My problem instance has  ", _xlfn.CHOOSECOLS(_xlfn.TEXTSPLIT(D33," "),1)," nodes and ", _xlfn.CHOOSECOLS(_xlfn.TEXTSPLIT(D33,"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23 nodes and 71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34" spans="1:11" x14ac:dyDescent="0.25">
      <c r="A34" t="s">
        <v>85</v>
      </c>
      <c r="B34" t="s">
        <v>69</v>
      </c>
      <c r="C34" t="s">
        <v>88</v>
      </c>
      <c r="D34" s="5" t="s">
        <v>93</v>
      </c>
      <c r="E34" t="s">
        <v>110</v>
      </c>
      <c r="F34" t="s">
        <v>38</v>
      </c>
      <c r="G34">
        <v>10000</v>
      </c>
      <c r="H34">
        <v>10</v>
      </c>
      <c r="I34">
        <v>1000</v>
      </c>
      <c r="J34">
        <v>0.99</v>
      </c>
      <c r="K34" t="str" cm="1">
        <f t="array" ref="K34">CONCATENATE("I'm using mealpy library to solve Graph Coloring Problem. My problem instance has  ", _xlfn.CHOOSECOLS(_xlfn.TEXTSPLIT(D34," "),1)," nodes and ", _xlfn.CHOOSECOLS(_xlfn.TEXTSPLIT(D34,"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47 nodes and 236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35" spans="1:11" x14ac:dyDescent="0.25">
      <c r="A35" t="s">
        <v>85</v>
      </c>
      <c r="B35" t="s">
        <v>69</v>
      </c>
      <c r="C35" t="s">
        <v>89</v>
      </c>
      <c r="D35" s="5" t="s">
        <v>94</v>
      </c>
      <c r="E35" t="s">
        <v>110</v>
      </c>
      <c r="F35" t="s">
        <v>38</v>
      </c>
      <c r="G35">
        <v>1000</v>
      </c>
      <c r="H35">
        <v>10</v>
      </c>
      <c r="I35">
        <v>1000</v>
      </c>
      <c r="J35">
        <v>10</v>
      </c>
      <c r="K35" t="str" cm="1">
        <f t="array" ref="K35">CONCATENATE("I'm using mealpy library to solve Graph Coloring Problem. My problem instance has  ", _xlfn.CHOOSECOLS(_xlfn.TEXTSPLIT(D35," "),1)," nodes and ", _xlfn.CHOOSECOLS(_xlfn.TEXTSPLIT(D35,"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95 nodes and 755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36" spans="1:11" x14ac:dyDescent="0.25">
      <c r="A36" t="s">
        <v>85</v>
      </c>
      <c r="B36" t="s">
        <v>69</v>
      </c>
      <c r="C36" t="s">
        <v>90</v>
      </c>
      <c r="D36" s="5" t="s">
        <v>95</v>
      </c>
      <c r="E36" t="s">
        <v>110</v>
      </c>
      <c r="F36" t="s">
        <v>38</v>
      </c>
      <c r="G36">
        <v>1000</v>
      </c>
      <c r="H36">
        <v>50</v>
      </c>
      <c r="I36">
        <v>1000</v>
      </c>
      <c r="J36">
        <v>10</v>
      </c>
      <c r="K36" t="str" cm="1">
        <f t="array" ref="K36">CONCATENATE("I'm using mealpy library to solve Graph Coloring Problem. My problem instance has  ", _xlfn.CHOOSECOLS(_xlfn.TEXTSPLIT(D36," "),1)," nodes and ", _xlfn.CHOOSECOLS(_xlfn.TEXTSPLIT(D36,"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191 nodes and 2360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37" spans="1:11" x14ac:dyDescent="0.25">
      <c r="A37" t="s">
        <v>85</v>
      </c>
      <c r="B37" t="s">
        <v>69</v>
      </c>
      <c r="C37" t="s">
        <v>96</v>
      </c>
      <c r="D37" s="5" t="s">
        <v>99</v>
      </c>
      <c r="E37" t="s">
        <v>110</v>
      </c>
      <c r="F37" t="s">
        <v>38</v>
      </c>
      <c r="G37">
        <v>1000</v>
      </c>
      <c r="H37">
        <v>50</v>
      </c>
      <c r="I37">
        <v>1000</v>
      </c>
      <c r="J37">
        <v>10</v>
      </c>
      <c r="K37" t="str" cm="1">
        <f t="array" ref="K37">CONCATENATE("I'm using mealpy library to solve Graph Coloring Problem. My problem instance has  ", _xlfn.CHOOSECOLS(_xlfn.TEXTSPLIT(D37," "),1)," nodes and ", _xlfn.CHOOSECOLS(_xlfn.TEXTSPLIT(D37,"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25 nodes and 160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38" spans="1:11" x14ac:dyDescent="0.25">
      <c r="A38" t="s">
        <v>85</v>
      </c>
      <c r="B38" t="s">
        <v>69</v>
      </c>
      <c r="C38" t="s">
        <v>97</v>
      </c>
      <c r="D38" s="5" t="s">
        <v>100</v>
      </c>
      <c r="E38" t="s">
        <v>110</v>
      </c>
      <c r="F38" t="s">
        <v>38</v>
      </c>
      <c r="G38">
        <v>10000</v>
      </c>
      <c r="H38">
        <v>10</v>
      </c>
      <c r="I38">
        <v>1000</v>
      </c>
      <c r="J38">
        <v>10</v>
      </c>
      <c r="K38" t="str" cm="1">
        <f t="array" ref="K38">CONCATENATE("I'm using mealpy library to solve Graph Coloring Problem. My problem instance has  ", _xlfn.CHOOSECOLS(_xlfn.TEXTSPLIT(D38," "),1)," nodes and ", _xlfn.CHOOSECOLS(_xlfn.TEXTSPLIT(D38,"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36 nodes and 290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39" spans="1:11" x14ac:dyDescent="0.25">
      <c r="A39" t="s">
        <v>85</v>
      </c>
      <c r="B39" t="s">
        <v>69</v>
      </c>
      <c r="C39" t="s">
        <v>98</v>
      </c>
      <c r="D39" s="5" t="s">
        <v>101</v>
      </c>
      <c r="E39" t="s">
        <v>110</v>
      </c>
      <c r="F39" t="s">
        <v>38</v>
      </c>
      <c r="G39">
        <v>1000</v>
      </c>
      <c r="H39">
        <v>50</v>
      </c>
      <c r="I39">
        <v>100</v>
      </c>
      <c r="J39">
        <v>10</v>
      </c>
      <c r="K39" t="str" cm="1">
        <f t="array" ref="K39">CONCATENATE("I'm using mealpy library to solve Graph Coloring Problem. My problem instance has  ", _xlfn.CHOOSECOLS(_xlfn.TEXTSPLIT(D39," "),1)," nodes and ", _xlfn.CHOOSECOLS(_xlfn.TEXTSPLIT(D39,"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49 nodes and 476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40" spans="1:11" x14ac:dyDescent="0.25">
      <c r="A40" t="s">
        <v>85</v>
      </c>
      <c r="B40" t="s">
        <v>69</v>
      </c>
      <c r="C40" t="s">
        <v>102</v>
      </c>
      <c r="D40" s="5" t="s">
        <v>103</v>
      </c>
      <c r="E40" t="s">
        <v>110</v>
      </c>
      <c r="F40" t="s">
        <v>38</v>
      </c>
      <c r="G40">
        <v>10000</v>
      </c>
      <c r="H40">
        <v>100</v>
      </c>
      <c r="I40">
        <v>1000</v>
      </c>
      <c r="J40">
        <v>99</v>
      </c>
      <c r="K40" t="str" cm="1">
        <f t="array" ref="K40">CONCATENATE("I'm using mealpy library to solve Graph Coloring Problem. My problem instance has  ", _xlfn.CHOOSECOLS(_xlfn.TEXTSPLIT(D40," "),1)," nodes and ", _xlfn.CHOOSECOLS(_xlfn.TEXTSPLIT(D40,"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64 nodes and 728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41" spans="1:11" x14ac:dyDescent="0.25">
      <c r="A41" t="s">
        <v>85</v>
      </c>
      <c r="B41" t="s">
        <v>69</v>
      </c>
      <c r="C41" t="s">
        <v>104</v>
      </c>
      <c r="D41" s="5" t="s">
        <v>105</v>
      </c>
      <c r="E41" t="s">
        <v>110</v>
      </c>
      <c r="F41" t="s">
        <v>38</v>
      </c>
      <c r="G41">
        <v>10000</v>
      </c>
      <c r="H41">
        <v>100</v>
      </c>
      <c r="I41">
        <v>1000</v>
      </c>
      <c r="J41">
        <v>99</v>
      </c>
      <c r="K41" t="str" cm="1">
        <f t="array" ref="K41">CONCATENATE("I'm using mealpy library to solve Graph Coloring Problem. My problem instance has  ", _xlfn.CHOOSECOLS(_xlfn.TEXTSPLIT(D41," "),1)," nodes and ", _xlfn.CHOOSECOLS(_xlfn.TEXTSPLIT(D41," "),2), " edges ", " I want to use Simulated Annealing to solve it. Mealpy's implementation of SA takes following parameters: epoch (integer smaller than 1000000), pop_size (integer), temp_init (int), step_size (int). ", "In brackets I wrote possible parameter values or its type. Suggest me parameter values in this problem setup. Give exact values and present them in python dictionary.")</f>
        <v>I'm using mealpy library to solve Graph Coloring Problem. My problem instance has  81 nodes and 2112 edges  I want to use Simulated Annealing to solve it. Mealpy's implementation of SA takes following parameters: epoch (integer smaller than 1000000), pop_size (integer), temp_init (int), step_size (int). In brackets I wrote possible parameter values or its type. Suggest me parameter values in this problem setup. Give exact values and present them in python dictionary.</v>
      </c>
    </row>
    <row r="42" spans="1:11" x14ac:dyDescent="0.25">
      <c r="A42" t="s">
        <v>85</v>
      </c>
      <c r="B42" t="s">
        <v>69</v>
      </c>
      <c r="C42" s="2" t="s">
        <v>86</v>
      </c>
      <c r="D42" t="s">
        <v>91</v>
      </c>
      <c r="E42" t="s">
        <v>36</v>
      </c>
      <c r="F42" t="s">
        <v>38</v>
      </c>
      <c r="G42">
        <v>10000</v>
      </c>
      <c r="H42">
        <v>2</v>
      </c>
      <c r="I42">
        <v>100</v>
      </c>
      <c r="J42">
        <v>0.1</v>
      </c>
    </row>
    <row r="43" spans="1:11" x14ac:dyDescent="0.25">
      <c r="A43" t="s">
        <v>85</v>
      </c>
      <c r="B43" t="s">
        <v>69</v>
      </c>
      <c r="C43" s="2" t="s">
        <v>87</v>
      </c>
      <c r="D43" t="s">
        <v>92</v>
      </c>
      <c r="E43" t="s">
        <v>36</v>
      </c>
      <c r="F43" t="s">
        <v>38</v>
      </c>
      <c r="G43">
        <v>10000</v>
      </c>
      <c r="H43">
        <v>2</v>
      </c>
      <c r="I43">
        <v>100</v>
      </c>
      <c r="J43">
        <v>0.1</v>
      </c>
    </row>
    <row r="44" spans="1:11" x14ac:dyDescent="0.25">
      <c r="A44" t="s">
        <v>85</v>
      </c>
      <c r="B44" t="s">
        <v>69</v>
      </c>
      <c r="C44" s="2" t="s">
        <v>88</v>
      </c>
      <c r="D44" s="5" t="s">
        <v>93</v>
      </c>
      <c r="E44" t="s">
        <v>36</v>
      </c>
      <c r="F44" t="s">
        <v>38</v>
      </c>
      <c r="G44">
        <v>10000</v>
      </c>
      <c r="H44">
        <v>2</v>
      </c>
      <c r="I44">
        <v>100</v>
      </c>
      <c r="J44">
        <v>0.1</v>
      </c>
    </row>
    <row r="45" spans="1:11" x14ac:dyDescent="0.25">
      <c r="A45" t="s">
        <v>85</v>
      </c>
      <c r="B45" t="s">
        <v>69</v>
      </c>
      <c r="C45" s="2" t="s">
        <v>89</v>
      </c>
      <c r="D45" s="5" t="s">
        <v>94</v>
      </c>
      <c r="E45" t="s">
        <v>36</v>
      </c>
      <c r="F45" t="s">
        <v>38</v>
      </c>
      <c r="G45">
        <v>10000</v>
      </c>
      <c r="H45">
        <v>2</v>
      </c>
      <c r="I45">
        <v>100</v>
      </c>
      <c r="J45">
        <v>0.1</v>
      </c>
    </row>
    <row r="46" spans="1:11" x14ac:dyDescent="0.25">
      <c r="A46" t="s">
        <v>85</v>
      </c>
      <c r="B46" t="s">
        <v>69</v>
      </c>
      <c r="C46" s="2" t="s">
        <v>90</v>
      </c>
      <c r="D46" s="5" t="s">
        <v>95</v>
      </c>
      <c r="E46" t="s">
        <v>36</v>
      </c>
      <c r="F46" t="s">
        <v>38</v>
      </c>
      <c r="G46">
        <v>10000</v>
      </c>
      <c r="H46">
        <v>2</v>
      </c>
      <c r="I46">
        <v>100</v>
      </c>
      <c r="J46">
        <v>0.1</v>
      </c>
    </row>
    <row r="47" spans="1:11" x14ac:dyDescent="0.25">
      <c r="A47" t="s">
        <v>85</v>
      </c>
      <c r="B47" t="s">
        <v>69</v>
      </c>
      <c r="C47" s="2" t="s">
        <v>96</v>
      </c>
      <c r="D47" s="5" t="s">
        <v>99</v>
      </c>
      <c r="E47" t="s">
        <v>36</v>
      </c>
      <c r="F47" t="s">
        <v>38</v>
      </c>
      <c r="G47">
        <v>10000</v>
      </c>
      <c r="H47">
        <v>2</v>
      </c>
      <c r="I47">
        <v>100</v>
      </c>
      <c r="J47">
        <v>0.1</v>
      </c>
    </row>
    <row r="48" spans="1:11" x14ac:dyDescent="0.25">
      <c r="A48" t="s">
        <v>85</v>
      </c>
      <c r="B48" t="s">
        <v>69</v>
      </c>
      <c r="C48" s="2" t="s">
        <v>97</v>
      </c>
      <c r="D48" s="5" t="s">
        <v>100</v>
      </c>
      <c r="E48" t="s">
        <v>36</v>
      </c>
      <c r="F48" t="s">
        <v>38</v>
      </c>
      <c r="G48">
        <v>10000</v>
      </c>
      <c r="H48">
        <v>2</v>
      </c>
      <c r="I48">
        <v>100</v>
      </c>
      <c r="J48">
        <v>0.1</v>
      </c>
    </row>
    <row r="49" spans="1:11" x14ac:dyDescent="0.25">
      <c r="A49" t="s">
        <v>85</v>
      </c>
      <c r="B49" t="s">
        <v>69</v>
      </c>
      <c r="C49" s="2" t="s">
        <v>98</v>
      </c>
      <c r="D49" s="5" t="s">
        <v>101</v>
      </c>
      <c r="E49" t="s">
        <v>36</v>
      </c>
      <c r="F49" t="s">
        <v>38</v>
      </c>
      <c r="G49">
        <v>10000</v>
      </c>
      <c r="H49">
        <v>2</v>
      </c>
      <c r="I49">
        <v>100</v>
      </c>
      <c r="J49">
        <v>0.1</v>
      </c>
    </row>
    <row r="50" spans="1:11" x14ac:dyDescent="0.25">
      <c r="A50" t="s">
        <v>85</v>
      </c>
      <c r="B50" t="s">
        <v>69</v>
      </c>
      <c r="C50" s="2" t="s">
        <v>102</v>
      </c>
      <c r="D50" s="5" t="s">
        <v>103</v>
      </c>
      <c r="E50" t="s">
        <v>36</v>
      </c>
      <c r="F50" t="s">
        <v>38</v>
      </c>
      <c r="G50">
        <v>10000</v>
      </c>
      <c r="H50">
        <v>2</v>
      </c>
      <c r="I50">
        <v>100</v>
      </c>
      <c r="J50">
        <v>0.1</v>
      </c>
    </row>
    <row r="51" spans="1:11" x14ac:dyDescent="0.25">
      <c r="A51" t="s">
        <v>85</v>
      </c>
      <c r="B51" t="s">
        <v>69</v>
      </c>
      <c r="C51" s="2" t="s">
        <v>104</v>
      </c>
      <c r="D51" s="5" t="s">
        <v>105</v>
      </c>
      <c r="E51" t="s">
        <v>36</v>
      </c>
      <c r="F51" t="s">
        <v>38</v>
      </c>
      <c r="G51">
        <v>10000</v>
      </c>
      <c r="H51">
        <v>2</v>
      </c>
      <c r="I51">
        <v>100</v>
      </c>
      <c r="J51">
        <v>0.1</v>
      </c>
    </row>
    <row r="52" spans="1:11" x14ac:dyDescent="0.25">
      <c r="A52" t="s">
        <v>85</v>
      </c>
      <c r="B52" t="s">
        <v>69</v>
      </c>
      <c r="C52" t="s">
        <v>86</v>
      </c>
      <c r="D52" t="s">
        <v>91</v>
      </c>
      <c r="E52" t="s">
        <v>107</v>
      </c>
      <c r="F52" t="s">
        <v>52</v>
      </c>
      <c r="G52">
        <v>10000</v>
      </c>
      <c r="H52">
        <v>10</v>
      </c>
      <c r="I52">
        <v>200</v>
      </c>
      <c r="J52">
        <v>0.8</v>
      </c>
      <c r="K52" t="s">
        <v>432</v>
      </c>
    </row>
    <row r="53" spans="1:11" x14ac:dyDescent="0.25">
      <c r="A53" t="s">
        <v>85</v>
      </c>
      <c r="B53" t="s">
        <v>69</v>
      </c>
      <c r="C53" t="s">
        <v>87</v>
      </c>
      <c r="D53" t="s">
        <v>92</v>
      </c>
      <c r="E53" t="s">
        <v>107</v>
      </c>
      <c r="F53" t="s">
        <v>52</v>
      </c>
      <c r="G53">
        <v>20000</v>
      </c>
      <c r="H53">
        <v>24</v>
      </c>
      <c r="I53">
        <v>150</v>
      </c>
      <c r="J53">
        <v>3</v>
      </c>
      <c r="K53" t="s">
        <v>433</v>
      </c>
    </row>
    <row r="54" spans="1:11" x14ac:dyDescent="0.25">
      <c r="A54" t="s">
        <v>85</v>
      </c>
      <c r="B54" t="s">
        <v>69</v>
      </c>
      <c r="C54" t="s">
        <v>88</v>
      </c>
      <c r="D54" s="5" t="s">
        <v>93</v>
      </c>
      <c r="E54" t="s">
        <v>107</v>
      </c>
      <c r="F54" t="s">
        <v>52</v>
      </c>
      <c r="G54">
        <v>2000</v>
      </c>
      <c r="H54">
        <v>250</v>
      </c>
      <c r="I54">
        <v>5000</v>
      </c>
      <c r="J54">
        <v>1</v>
      </c>
      <c r="K54" t="s">
        <v>434</v>
      </c>
    </row>
    <row r="55" spans="1:11" x14ac:dyDescent="0.25">
      <c r="A55" t="s">
        <v>85</v>
      </c>
      <c r="B55" t="s">
        <v>69</v>
      </c>
      <c r="C55" t="s">
        <v>89</v>
      </c>
      <c r="D55" s="5" t="s">
        <v>94</v>
      </c>
      <c r="E55" t="s">
        <v>107</v>
      </c>
      <c r="F55" t="s">
        <v>52</v>
      </c>
      <c r="G55">
        <v>20000</v>
      </c>
      <c r="H55">
        <v>24</v>
      </c>
      <c r="I55">
        <v>1500</v>
      </c>
      <c r="J55">
        <v>3</v>
      </c>
      <c r="K55" t="s">
        <v>435</v>
      </c>
    </row>
    <row r="56" spans="1:11" x14ac:dyDescent="0.25">
      <c r="A56" t="s">
        <v>85</v>
      </c>
      <c r="B56" t="s">
        <v>69</v>
      </c>
      <c r="C56" t="s">
        <v>90</v>
      </c>
      <c r="D56" s="5" t="s">
        <v>95</v>
      </c>
      <c r="E56" t="s">
        <v>107</v>
      </c>
      <c r="F56" t="s">
        <v>52</v>
      </c>
      <c r="G56">
        <v>20000</v>
      </c>
      <c r="H56">
        <v>24</v>
      </c>
      <c r="I56">
        <v>2000</v>
      </c>
      <c r="J56">
        <v>15</v>
      </c>
      <c r="K56" t="s">
        <v>436</v>
      </c>
    </row>
    <row r="57" spans="1:11" x14ac:dyDescent="0.25">
      <c r="A57" t="s">
        <v>85</v>
      </c>
      <c r="B57" t="s">
        <v>69</v>
      </c>
      <c r="C57" t="s">
        <v>96</v>
      </c>
      <c r="D57" s="5" t="s">
        <v>99</v>
      </c>
      <c r="E57" t="s">
        <v>107</v>
      </c>
      <c r="F57" t="s">
        <v>52</v>
      </c>
      <c r="G57">
        <v>5000</v>
      </c>
      <c r="H57">
        <v>100</v>
      </c>
      <c r="I57">
        <v>150</v>
      </c>
      <c r="J57">
        <v>15</v>
      </c>
      <c r="K57" t="s">
        <v>437</v>
      </c>
    </row>
    <row r="58" spans="1:11" x14ac:dyDescent="0.25">
      <c r="A58" t="s">
        <v>85</v>
      </c>
      <c r="B58" t="s">
        <v>69</v>
      </c>
      <c r="C58" t="s">
        <v>97</v>
      </c>
      <c r="D58" s="5" t="s">
        <v>100</v>
      </c>
      <c r="E58" t="s">
        <v>107</v>
      </c>
      <c r="F58" t="s">
        <v>52</v>
      </c>
      <c r="G58">
        <v>5000</v>
      </c>
      <c r="H58">
        <v>100</v>
      </c>
      <c r="I58">
        <v>2000</v>
      </c>
      <c r="J58">
        <v>8</v>
      </c>
      <c r="K58" t="s">
        <v>438</v>
      </c>
    </row>
    <row r="59" spans="1:11" x14ac:dyDescent="0.25">
      <c r="A59" t="s">
        <v>85</v>
      </c>
      <c r="B59" t="s">
        <v>69</v>
      </c>
      <c r="C59" t="s">
        <v>98</v>
      </c>
      <c r="D59" s="5" t="s">
        <v>101</v>
      </c>
      <c r="E59" t="s">
        <v>107</v>
      </c>
      <c r="F59" t="s">
        <v>52</v>
      </c>
      <c r="G59">
        <v>10000</v>
      </c>
      <c r="H59">
        <v>24</v>
      </c>
      <c r="I59">
        <v>1500</v>
      </c>
      <c r="J59">
        <v>3</v>
      </c>
      <c r="K59" t="s">
        <v>439</v>
      </c>
    </row>
    <row r="60" spans="1:11" x14ac:dyDescent="0.25">
      <c r="A60" t="s">
        <v>85</v>
      </c>
      <c r="B60" t="s">
        <v>69</v>
      </c>
      <c r="C60" t="s">
        <v>102</v>
      </c>
      <c r="D60" s="5" t="s">
        <v>103</v>
      </c>
      <c r="E60" t="s">
        <v>107</v>
      </c>
      <c r="F60" t="s">
        <v>52</v>
      </c>
      <c r="G60">
        <v>20000</v>
      </c>
      <c r="H60">
        <v>24</v>
      </c>
      <c r="I60">
        <v>1500</v>
      </c>
      <c r="J60">
        <v>3</v>
      </c>
      <c r="K60" t="s">
        <v>440</v>
      </c>
    </row>
    <row r="61" spans="1:11" x14ac:dyDescent="0.25">
      <c r="A61" t="s">
        <v>85</v>
      </c>
      <c r="B61" t="s">
        <v>69</v>
      </c>
      <c r="C61" t="s">
        <v>104</v>
      </c>
      <c r="D61" s="5" t="s">
        <v>105</v>
      </c>
      <c r="E61" t="s">
        <v>107</v>
      </c>
      <c r="F61" t="s">
        <v>52</v>
      </c>
      <c r="G61">
        <v>50000</v>
      </c>
      <c r="H61">
        <v>10</v>
      </c>
      <c r="I61">
        <v>2000</v>
      </c>
      <c r="J61">
        <v>3</v>
      </c>
      <c r="K61" t="s">
        <v>441</v>
      </c>
    </row>
    <row r="62" spans="1:11" x14ac:dyDescent="0.25">
      <c r="A62" t="s">
        <v>85</v>
      </c>
      <c r="B62" t="s">
        <v>69</v>
      </c>
      <c r="C62" t="s">
        <v>86</v>
      </c>
      <c r="D62" t="s">
        <v>91</v>
      </c>
      <c r="E62" t="s">
        <v>109</v>
      </c>
      <c r="F62" t="s">
        <v>52</v>
      </c>
      <c r="G62">
        <v>5000</v>
      </c>
      <c r="H62">
        <v>100</v>
      </c>
      <c r="I62">
        <v>200</v>
      </c>
      <c r="J62">
        <v>0.5</v>
      </c>
      <c r="K62" t="s">
        <v>442</v>
      </c>
    </row>
    <row r="63" spans="1:11" x14ac:dyDescent="0.25">
      <c r="A63" t="s">
        <v>85</v>
      </c>
      <c r="B63" t="s">
        <v>69</v>
      </c>
      <c r="C63" t="s">
        <v>87</v>
      </c>
      <c r="D63" t="s">
        <v>92</v>
      </c>
      <c r="E63" t="s">
        <v>109</v>
      </c>
      <c r="F63" t="s">
        <v>52</v>
      </c>
      <c r="G63">
        <v>5000</v>
      </c>
      <c r="H63">
        <v>100</v>
      </c>
      <c r="I63">
        <v>150</v>
      </c>
      <c r="J63">
        <v>0.5</v>
      </c>
      <c r="K63" t="s">
        <v>443</v>
      </c>
    </row>
    <row r="64" spans="1:11" x14ac:dyDescent="0.25">
      <c r="A64" t="s">
        <v>85</v>
      </c>
      <c r="B64" t="s">
        <v>69</v>
      </c>
      <c r="C64" t="s">
        <v>88</v>
      </c>
      <c r="D64" s="5" t="s">
        <v>93</v>
      </c>
      <c r="E64" t="s">
        <v>109</v>
      </c>
      <c r="F64" t="s">
        <v>52</v>
      </c>
      <c r="G64">
        <v>50000</v>
      </c>
      <c r="H64">
        <v>100</v>
      </c>
      <c r="I64">
        <v>500</v>
      </c>
      <c r="J64">
        <v>5</v>
      </c>
      <c r="K64" t="s">
        <v>444</v>
      </c>
    </row>
    <row r="65" spans="1:11" x14ac:dyDescent="0.25">
      <c r="A65" t="s">
        <v>85</v>
      </c>
      <c r="B65" t="s">
        <v>69</v>
      </c>
      <c r="C65" t="s">
        <v>89</v>
      </c>
      <c r="D65" s="5" t="s">
        <v>94</v>
      </c>
      <c r="E65" t="s">
        <v>109</v>
      </c>
      <c r="F65" t="s">
        <v>52</v>
      </c>
      <c r="G65">
        <v>6000</v>
      </c>
      <c r="H65">
        <v>42</v>
      </c>
      <c r="I65">
        <v>1200</v>
      </c>
      <c r="J65">
        <v>8</v>
      </c>
      <c r="K65" t="s">
        <v>445</v>
      </c>
    </row>
    <row r="66" spans="1:11" x14ac:dyDescent="0.25">
      <c r="A66" t="s">
        <v>85</v>
      </c>
      <c r="B66" t="s">
        <v>69</v>
      </c>
      <c r="C66" t="s">
        <v>90</v>
      </c>
      <c r="D66" s="5" t="s">
        <v>95</v>
      </c>
      <c r="E66" t="s">
        <v>109</v>
      </c>
      <c r="F66" t="s">
        <v>52</v>
      </c>
      <c r="G66">
        <v>100000</v>
      </c>
      <c r="H66">
        <v>24</v>
      </c>
      <c r="I66">
        <v>500</v>
      </c>
      <c r="J66">
        <v>5</v>
      </c>
      <c r="K66" t="s">
        <v>446</v>
      </c>
    </row>
    <row r="67" spans="1:11" x14ac:dyDescent="0.25">
      <c r="A67" t="s">
        <v>85</v>
      </c>
      <c r="B67" t="s">
        <v>69</v>
      </c>
      <c r="C67" t="s">
        <v>96</v>
      </c>
      <c r="D67" s="5" t="s">
        <v>99</v>
      </c>
      <c r="E67" t="s">
        <v>109</v>
      </c>
      <c r="F67" t="s">
        <v>52</v>
      </c>
      <c r="G67">
        <v>100000</v>
      </c>
      <c r="H67">
        <v>24</v>
      </c>
      <c r="I67">
        <v>500</v>
      </c>
      <c r="J67">
        <v>0.5</v>
      </c>
      <c r="K67" t="s">
        <v>447</v>
      </c>
    </row>
    <row r="68" spans="1:11" x14ac:dyDescent="0.25">
      <c r="A68" t="s">
        <v>85</v>
      </c>
      <c r="B68" t="s">
        <v>69</v>
      </c>
      <c r="C68" t="s">
        <v>97</v>
      </c>
      <c r="D68" s="5" t="s">
        <v>100</v>
      </c>
      <c r="E68" t="s">
        <v>109</v>
      </c>
      <c r="F68" t="s">
        <v>52</v>
      </c>
      <c r="G68">
        <v>5000</v>
      </c>
      <c r="H68">
        <v>100</v>
      </c>
      <c r="I68">
        <v>1500</v>
      </c>
      <c r="J68">
        <v>10</v>
      </c>
      <c r="K68" t="s">
        <v>448</v>
      </c>
    </row>
    <row r="69" spans="1:11" x14ac:dyDescent="0.25">
      <c r="A69" t="s">
        <v>85</v>
      </c>
      <c r="B69" t="s">
        <v>69</v>
      </c>
      <c r="C69" t="s">
        <v>98</v>
      </c>
      <c r="D69" s="5" t="s">
        <v>101</v>
      </c>
      <c r="E69" t="s">
        <v>109</v>
      </c>
      <c r="F69" t="s">
        <v>52</v>
      </c>
      <c r="G69">
        <v>100000</v>
      </c>
      <c r="H69">
        <v>24</v>
      </c>
      <c r="I69">
        <v>1500</v>
      </c>
      <c r="J69">
        <v>2.5</v>
      </c>
      <c r="K69" t="s">
        <v>449</v>
      </c>
    </row>
    <row r="70" spans="1:11" x14ac:dyDescent="0.25">
      <c r="A70" t="s">
        <v>85</v>
      </c>
      <c r="B70" t="s">
        <v>69</v>
      </c>
      <c r="C70" t="s">
        <v>102</v>
      </c>
      <c r="D70" s="5" t="s">
        <v>103</v>
      </c>
      <c r="E70" t="s">
        <v>109</v>
      </c>
      <c r="F70" t="s">
        <v>52</v>
      </c>
      <c r="G70">
        <v>20000</v>
      </c>
      <c r="H70">
        <v>24</v>
      </c>
      <c r="I70">
        <v>150</v>
      </c>
      <c r="J70">
        <v>0.5</v>
      </c>
      <c r="K70" t="s">
        <v>450</v>
      </c>
    </row>
    <row r="71" spans="1:11" x14ac:dyDescent="0.25">
      <c r="A71" t="s">
        <v>85</v>
      </c>
      <c r="B71" t="s">
        <v>69</v>
      </c>
      <c r="C71" t="s">
        <v>104</v>
      </c>
      <c r="D71" s="5" t="s">
        <v>105</v>
      </c>
      <c r="E71" t="s">
        <v>109</v>
      </c>
      <c r="F71" t="s">
        <v>52</v>
      </c>
      <c r="G71">
        <v>25000</v>
      </c>
      <c r="H71">
        <v>100</v>
      </c>
      <c r="I71">
        <v>1500</v>
      </c>
      <c r="J71">
        <v>10</v>
      </c>
      <c r="K71" t="s">
        <v>451</v>
      </c>
    </row>
    <row r="72" spans="1:11" x14ac:dyDescent="0.25">
      <c r="A72" t="s">
        <v>85</v>
      </c>
      <c r="B72" t="s">
        <v>69</v>
      </c>
      <c r="C72" t="s">
        <v>86</v>
      </c>
      <c r="D72" t="s">
        <v>91</v>
      </c>
      <c r="E72" t="s">
        <v>8</v>
      </c>
      <c r="F72" t="s">
        <v>52</v>
      </c>
      <c r="G72">
        <v>250</v>
      </c>
      <c r="H72">
        <v>20</v>
      </c>
      <c r="I72">
        <v>200</v>
      </c>
      <c r="J72">
        <v>2.5</v>
      </c>
      <c r="K72" t="s">
        <v>452</v>
      </c>
    </row>
    <row r="73" spans="1:11" x14ac:dyDescent="0.25">
      <c r="A73" t="s">
        <v>85</v>
      </c>
      <c r="B73" t="s">
        <v>69</v>
      </c>
      <c r="C73" t="s">
        <v>87</v>
      </c>
      <c r="D73" t="s">
        <v>92</v>
      </c>
      <c r="E73" t="s">
        <v>8</v>
      </c>
      <c r="F73" t="s">
        <v>52</v>
      </c>
      <c r="G73">
        <v>11500</v>
      </c>
      <c r="H73">
        <v>2</v>
      </c>
      <c r="I73">
        <v>500</v>
      </c>
      <c r="J73">
        <v>1</v>
      </c>
      <c r="K73" t="s">
        <v>453</v>
      </c>
    </row>
    <row r="74" spans="1:11" x14ac:dyDescent="0.25">
      <c r="A74" t="s">
        <v>85</v>
      </c>
      <c r="B74" t="s">
        <v>69</v>
      </c>
      <c r="C74" t="s">
        <v>88</v>
      </c>
      <c r="D74" s="5" t="s">
        <v>93</v>
      </c>
      <c r="E74" t="s">
        <v>8</v>
      </c>
      <c r="F74" t="s">
        <v>52</v>
      </c>
      <c r="G74">
        <v>500</v>
      </c>
      <c r="H74">
        <v>50</v>
      </c>
      <c r="I74">
        <v>50</v>
      </c>
      <c r="J74">
        <v>2.5</v>
      </c>
      <c r="K74" t="s">
        <v>454</v>
      </c>
    </row>
    <row r="75" spans="1:11" x14ac:dyDescent="0.25">
      <c r="A75" t="s">
        <v>85</v>
      </c>
      <c r="B75" t="s">
        <v>69</v>
      </c>
      <c r="C75" t="s">
        <v>89</v>
      </c>
      <c r="D75" s="5" t="s">
        <v>94</v>
      </c>
      <c r="E75" t="s">
        <v>8</v>
      </c>
      <c r="F75" t="s">
        <v>52</v>
      </c>
      <c r="G75">
        <v>500</v>
      </c>
      <c r="H75">
        <v>50</v>
      </c>
      <c r="I75">
        <v>10</v>
      </c>
      <c r="J75">
        <v>1</v>
      </c>
      <c r="K75" t="s">
        <v>455</v>
      </c>
    </row>
    <row r="76" spans="1:11" x14ac:dyDescent="0.25">
      <c r="A76" t="s">
        <v>85</v>
      </c>
      <c r="B76" t="s">
        <v>69</v>
      </c>
      <c r="C76" t="s">
        <v>90</v>
      </c>
      <c r="D76" s="5" t="s">
        <v>95</v>
      </c>
      <c r="E76" t="s">
        <v>8</v>
      </c>
      <c r="F76" t="s">
        <v>52</v>
      </c>
      <c r="G76">
        <v>1000</v>
      </c>
      <c r="H76">
        <v>50</v>
      </c>
      <c r="I76">
        <v>500</v>
      </c>
      <c r="J76">
        <v>25</v>
      </c>
      <c r="K76" t="s">
        <v>456</v>
      </c>
    </row>
    <row r="77" spans="1:11" x14ac:dyDescent="0.25">
      <c r="A77" t="s">
        <v>85</v>
      </c>
      <c r="B77" t="s">
        <v>69</v>
      </c>
      <c r="C77" t="s">
        <v>96</v>
      </c>
      <c r="D77" s="5" t="s">
        <v>99</v>
      </c>
      <c r="E77" t="s">
        <v>8</v>
      </c>
      <c r="F77" t="s">
        <v>52</v>
      </c>
      <c r="G77">
        <v>250</v>
      </c>
      <c r="H77">
        <v>50</v>
      </c>
      <c r="I77">
        <v>50</v>
      </c>
      <c r="J77">
        <v>2.5</v>
      </c>
      <c r="K77" t="s">
        <v>457</v>
      </c>
    </row>
    <row r="78" spans="1:11" x14ac:dyDescent="0.25">
      <c r="A78" t="s">
        <v>85</v>
      </c>
      <c r="B78" t="s">
        <v>69</v>
      </c>
      <c r="C78" t="s">
        <v>97</v>
      </c>
      <c r="D78" s="5" t="s">
        <v>100</v>
      </c>
      <c r="E78" t="s">
        <v>8</v>
      </c>
      <c r="F78" t="s">
        <v>52</v>
      </c>
      <c r="G78">
        <v>1000</v>
      </c>
      <c r="H78">
        <v>18</v>
      </c>
      <c r="I78">
        <v>50</v>
      </c>
      <c r="J78">
        <v>5</v>
      </c>
      <c r="K78" t="s">
        <v>458</v>
      </c>
    </row>
    <row r="79" spans="1:11" x14ac:dyDescent="0.25">
      <c r="A79" t="s">
        <v>85</v>
      </c>
      <c r="B79" t="s">
        <v>69</v>
      </c>
      <c r="C79" t="s">
        <v>98</v>
      </c>
      <c r="D79" s="5" t="s">
        <v>101</v>
      </c>
      <c r="E79" t="s">
        <v>8</v>
      </c>
      <c r="F79" t="s">
        <v>52</v>
      </c>
      <c r="G79">
        <v>1000</v>
      </c>
      <c r="H79">
        <v>24</v>
      </c>
      <c r="I79">
        <v>50</v>
      </c>
      <c r="J79">
        <v>2.5</v>
      </c>
      <c r="K79" t="s">
        <v>459</v>
      </c>
    </row>
    <row r="80" spans="1:11" x14ac:dyDescent="0.25">
      <c r="A80" t="s">
        <v>85</v>
      </c>
      <c r="B80" t="s">
        <v>69</v>
      </c>
      <c r="C80" t="s">
        <v>102</v>
      </c>
      <c r="D80" s="5" t="s">
        <v>103</v>
      </c>
      <c r="E80" t="s">
        <v>8</v>
      </c>
      <c r="F80" t="s">
        <v>52</v>
      </c>
      <c r="G80">
        <v>250</v>
      </c>
      <c r="H80">
        <v>100</v>
      </c>
      <c r="I80">
        <v>50</v>
      </c>
      <c r="J80">
        <v>5</v>
      </c>
      <c r="K80" t="s">
        <v>460</v>
      </c>
    </row>
    <row r="81" spans="1:11" x14ac:dyDescent="0.25">
      <c r="A81" t="s">
        <v>85</v>
      </c>
      <c r="B81" t="s">
        <v>69</v>
      </c>
      <c r="C81" t="s">
        <v>104</v>
      </c>
      <c r="D81" s="5" t="s">
        <v>105</v>
      </c>
      <c r="E81" t="s">
        <v>8</v>
      </c>
      <c r="F81" t="s">
        <v>52</v>
      </c>
      <c r="G81">
        <v>500</v>
      </c>
      <c r="H81">
        <v>50</v>
      </c>
      <c r="I81">
        <v>50</v>
      </c>
      <c r="J81">
        <v>5</v>
      </c>
      <c r="K81" t="s">
        <v>461</v>
      </c>
    </row>
    <row r="82" spans="1:11" x14ac:dyDescent="0.25">
      <c r="A82" t="s">
        <v>85</v>
      </c>
      <c r="B82" t="s">
        <v>69</v>
      </c>
      <c r="C82" t="s">
        <v>86</v>
      </c>
      <c r="D82" t="s">
        <v>91</v>
      </c>
      <c r="E82" t="s">
        <v>110</v>
      </c>
      <c r="F82" t="s">
        <v>52</v>
      </c>
      <c r="G82">
        <v>10000</v>
      </c>
      <c r="H82">
        <v>4</v>
      </c>
      <c r="I82">
        <v>1000</v>
      </c>
      <c r="J82">
        <v>0.8</v>
      </c>
      <c r="K82" t="s">
        <v>462</v>
      </c>
    </row>
    <row r="83" spans="1:11" x14ac:dyDescent="0.25">
      <c r="A83" t="s">
        <v>85</v>
      </c>
      <c r="B83" t="s">
        <v>69</v>
      </c>
      <c r="C83" t="s">
        <v>87</v>
      </c>
      <c r="D83" t="s">
        <v>92</v>
      </c>
      <c r="E83" t="s">
        <v>110</v>
      </c>
      <c r="F83" t="s">
        <v>52</v>
      </c>
      <c r="G83">
        <v>5000</v>
      </c>
      <c r="H83">
        <v>100</v>
      </c>
      <c r="I83">
        <v>150</v>
      </c>
      <c r="J83">
        <v>5</v>
      </c>
      <c r="K83" t="s">
        <v>463</v>
      </c>
    </row>
    <row r="84" spans="1:11" x14ac:dyDescent="0.25">
      <c r="A84" t="s">
        <v>85</v>
      </c>
      <c r="B84" t="s">
        <v>69</v>
      </c>
      <c r="C84" t="s">
        <v>88</v>
      </c>
      <c r="D84" s="5" t="s">
        <v>93</v>
      </c>
      <c r="E84" t="s">
        <v>110</v>
      </c>
      <c r="F84" t="s">
        <v>52</v>
      </c>
      <c r="G84">
        <v>5000</v>
      </c>
      <c r="H84">
        <v>20</v>
      </c>
      <c r="I84">
        <v>1200</v>
      </c>
      <c r="J84">
        <v>0.98</v>
      </c>
      <c r="K84" t="s">
        <v>464</v>
      </c>
    </row>
    <row r="85" spans="1:11" x14ac:dyDescent="0.25">
      <c r="A85" t="s">
        <v>85</v>
      </c>
      <c r="B85" t="s">
        <v>69</v>
      </c>
      <c r="C85" t="s">
        <v>89</v>
      </c>
      <c r="D85" s="5" t="s">
        <v>94</v>
      </c>
      <c r="E85" t="s">
        <v>110</v>
      </c>
      <c r="F85" t="s">
        <v>52</v>
      </c>
      <c r="G85">
        <v>2000</v>
      </c>
      <c r="H85">
        <v>4</v>
      </c>
      <c r="I85">
        <v>1500</v>
      </c>
      <c r="J85">
        <v>5</v>
      </c>
      <c r="K85" t="s">
        <v>465</v>
      </c>
    </row>
    <row r="86" spans="1:11" x14ac:dyDescent="0.25">
      <c r="A86" t="s">
        <v>85</v>
      </c>
      <c r="B86" t="s">
        <v>69</v>
      </c>
      <c r="C86" t="s">
        <v>90</v>
      </c>
      <c r="D86" s="5" t="s">
        <v>95</v>
      </c>
      <c r="E86" t="s">
        <v>110</v>
      </c>
      <c r="F86" t="s">
        <v>52</v>
      </c>
      <c r="G86">
        <v>2000</v>
      </c>
      <c r="H86">
        <v>24</v>
      </c>
      <c r="I86">
        <v>2000</v>
      </c>
      <c r="J86">
        <v>15</v>
      </c>
      <c r="K86" t="s">
        <v>466</v>
      </c>
    </row>
    <row r="87" spans="1:11" x14ac:dyDescent="0.25">
      <c r="A87" t="s">
        <v>85</v>
      </c>
      <c r="B87" t="s">
        <v>69</v>
      </c>
      <c r="C87" t="s">
        <v>96</v>
      </c>
      <c r="D87" s="5" t="s">
        <v>99</v>
      </c>
      <c r="E87" t="s">
        <v>110</v>
      </c>
      <c r="F87" t="s">
        <v>52</v>
      </c>
      <c r="G87">
        <v>500</v>
      </c>
      <c r="H87">
        <v>100</v>
      </c>
      <c r="I87">
        <v>1200</v>
      </c>
      <c r="J87">
        <v>8</v>
      </c>
      <c r="K87" t="s">
        <v>467</v>
      </c>
    </row>
    <row r="88" spans="1:11" x14ac:dyDescent="0.25">
      <c r="A88" t="s">
        <v>85</v>
      </c>
      <c r="B88" t="s">
        <v>69</v>
      </c>
      <c r="C88" t="s">
        <v>97</v>
      </c>
      <c r="D88" s="5" t="s">
        <v>100</v>
      </c>
      <c r="E88" t="s">
        <v>110</v>
      </c>
      <c r="F88" t="s">
        <v>52</v>
      </c>
      <c r="G88">
        <v>5000</v>
      </c>
      <c r="H88">
        <v>20</v>
      </c>
      <c r="I88">
        <v>500</v>
      </c>
      <c r="J88">
        <v>20</v>
      </c>
      <c r="K88" t="s">
        <v>468</v>
      </c>
    </row>
    <row r="89" spans="1:11" x14ac:dyDescent="0.25">
      <c r="A89" t="s">
        <v>85</v>
      </c>
      <c r="B89" t="s">
        <v>69</v>
      </c>
      <c r="C89" t="s">
        <v>98</v>
      </c>
      <c r="D89" s="5" t="s">
        <v>101</v>
      </c>
      <c r="E89" t="s">
        <v>110</v>
      </c>
      <c r="F89" t="s">
        <v>52</v>
      </c>
      <c r="G89">
        <v>500</v>
      </c>
      <c r="H89">
        <v>100</v>
      </c>
      <c r="I89">
        <v>150</v>
      </c>
      <c r="J89">
        <v>5</v>
      </c>
      <c r="K89" t="s">
        <v>469</v>
      </c>
    </row>
    <row r="90" spans="1:11" x14ac:dyDescent="0.25">
      <c r="A90" t="s">
        <v>85</v>
      </c>
      <c r="B90" t="s">
        <v>69</v>
      </c>
      <c r="C90" t="s">
        <v>102</v>
      </c>
      <c r="D90" s="5" t="s">
        <v>103</v>
      </c>
      <c r="E90" t="s">
        <v>110</v>
      </c>
      <c r="F90" t="s">
        <v>52</v>
      </c>
      <c r="G90">
        <v>20000</v>
      </c>
      <c r="H90">
        <v>50</v>
      </c>
      <c r="I90">
        <v>800</v>
      </c>
      <c r="J90">
        <v>99</v>
      </c>
      <c r="K90" t="s">
        <v>470</v>
      </c>
    </row>
    <row r="91" spans="1:11" x14ac:dyDescent="0.25">
      <c r="A91" t="s">
        <v>85</v>
      </c>
      <c r="B91" t="s">
        <v>69</v>
      </c>
      <c r="C91" t="s">
        <v>104</v>
      </c>
      <c r="D91" s="5" t="s">
        <v>105</v>
      </c>
      <c r="E91" t="s">
        <v>110</v>
      </c>
      <c r="F91" t="s">
        <v>52</v>
      </c>
      <c r="G91">
        <v>5000</v>
      </c>
      <c r="H91">
        <v>200</v>
      </c>
      <c r="I91">
        <v>500</v>
      </c>
      <c r="J91">
        <v>99</v>
      </c>
      <c r="K91" t="s">
        <v>471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12</vt:i4>
      </vt:variant>
    </vt:vector>
  </HeadingPairs>
  <TitlesOfParts>
    <vt:vector size="12" baseType="lpstr">
      <vt:lpstr>TSP-GA</vt:lpstr>
      <vt:lpstr>TSP-SA</vt:lpstr>
      <vt:lpstr>TSP-ACO</vt:lpstr>
      <vt:lpstr>KP-GA</vt:lpstr>
      <vt:lpstr>KP-SA</vt:lpstr>
      <vt:lpstr>KP-PSO</vt:lpstr>
      <vt:lpstr>JSSP-GA</vt:lpstr>
      <vt:lpstr>JSSP-PSO</vt:lpstr>
      <vt:lpstr>JSSP-ACO</vt:lpstr>
      <vt:lpstr>GCP-PSO</vt:lpstr>
      <vt:lpstr>GCP-GA</vt:lpstr>
      <vt:lpstr>GCP-SA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Alicja Martinek</dc:creator>
  <cp:lastModifiedBy>Alicja Martinek</cp:lastModifiedBy>
  <dcterms:created xsi:type="dcterms:W3CDTF">2024-04-24T11:20:30Z</dcterms:created>
  <dcterms:modified xsi:type="dcterms:W3CDTF">2025-12-22T16:16:40Z</dcterms:modified>
</cp:coreProperties>
</file>